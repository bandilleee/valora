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comeStatement" sheetId="2" state="visible" r:id="rId2"/>
    <sheet xmlns:r="http://schemas.openxmlformats.org/officeDocument/2006/relationships" name="BalanceSheet" sheetId="3" state="visible" r:id="rId3"/>
    <sheet xmlns:r="http://schemas.openxmlformats.org/officeDocument/2006/relationships" name="CashFlow" sheetId="4" state="visible" r:id="rId4"/>
    <sheet xmlns:r="http://schemas.openxmlformats.org/officeDocument/2006/relationships" name="HEPS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Bitemporal_Pair" sheetId="7" state="visible" r:id="rId7"/>
    <sheet xmlns:r="http://schemas.openxmlformats.org/officeDocument/2006/relationships" name="Structural_Changes" sheetId="8" state="visible" r:id="rId8"/>
    <sheet xmlns:r="http://schemas.openxmlformats.org/officeDocument/2006/relationships" name="Checks" sheetId="9" state="visible" r:id="rId9"/>
  </sheets>
  <definedNames>
    <definedName name="_xlnm._FilterDatabase" localSheetId="1" hidden="1">'IncomeStatement'!$A$4:$N$78</definedName>
    <definedName name="_xlnm._FilterDatabase" localSheetId="2" hidden="1">'BalanceSheet'!$A$4:$N$68</definedName>
    <definedName name="_xlnm._FilterDatabase" localSheetId="3" hidden="1">'CashFlow'!$A$4:$N$76</definedName>
    <definedName name="_xlnm._FilterDatabase" localSheetId="4" hidden="1">'HEPS'!$A$4:$N$54</definedName>
    <definedName name="_xlnm._FilterDatabase" localSheetId="5" hidden="1">'Segments'!$A$4:$N$53</definedName>
    <definedName name="_xlnm._FilterDatabase" localSheetId="6" hidden="1">'Bitemporal_Pair'!$A$4:$N$40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(#,##0.0);-"/>
  </numFmts>
  <fonts count="1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color rgb="00C00000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1F3864"/>
      <sz val="14"/>
    </font>
    <font>
      <name val="Arial"/>
      <color rgb="00000000"/>
      <sz val="10"/>
    </font>
    <font>
      <name val="Arial"/>
      <b val="1"/>
      <color rgb="00C00000"/>
      <sz val="11"/>
    </font>
    <font>
      <name val="Arial"/>
      <b val="1"/>
      <color rgb="00000000"/>
      <sz val="10"/>
    </font>
    <font>
      <name val="Arial"/>
      <b val="1"/>
      <color rgb="001F3864"/>
      <sz val="11"/>
    </font>
    <font>
      <name val="Arial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5" fillId="0" borderId="1" pivotButton="0" quotePrefix="0" xfId="0"/>
    <xf numFmtId="164" fontId="6" fillId="0" borderId="1" pivotButton="0" quotePrefix="0" xfId="0"/>
    <xf numFmtId="0" fontId="5" fillId="3" borderId="1" pivotButton="0" quotePrefix="0" xfId="0"/>
    <xf numFmtId="0" fontId="4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164" fontId="5" fillId="0" borderId="0" pivotButton="0" quotePrefix="0" xfId="0"/>
    <xf numFmtId="0" fontId="7" fillId="0" borderId="0" pivotButton="0" quotePrefix="0" xfId="0"/>
    <xf numFmtId="0" fontId="11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2" customWidth="1" min="1" max="1"/>
  </cols>
  <sheetData>
    <row r="1">
      <c r="A1" s="1" t="inlineStr">
        <is>
          <t>Valora M2.10 - Shoprite FY2024, as ORIGINALLY reported</t>
        </is>
      </c>
    </row>
    <row r="2">
      <c r="A2" s="2" t="inlineStr"/>
    </row>
    <row r="3">
      <c r="A3" s="2" t="inlineStr">
        <is>
          <t>Source: shp-afs-2024-print.pdf - Annual Financial Statements 2024, 52 weeks ended 30 June 2024, 152 pages.</t>
        </is>
      </c>
    </row>
    <row r="4">
      <c r="A4" s="2" t="inlineStr">
        <is>
          <t>pdf_page is pre-filled from the actual PDF: income statement p21, balance sheet p20, cash flows p23, segments p50, HEPS p90-91.</t>
        </is>
      </c>
    </row>
    <row r="5">
      <c r="A5" s="2" t="inlineStr">
        <is>
          <t>These are PDF page indices, not the printed page numbers on the page (page 48 is printed on PDF page 50).</t>
        </is>
      </c>
    </row>
    <row r="6">
      <c r="A6" s="2" t="inlineStr"/>
    </row>
    <row r="7">
      <c r="A7" s="3" t="inlineStr">
        <is>
          <t>WHY THIS DOCUMENT MATTERS</t>
        </is>
      </c>
    </row>
    <row r="8">
      <c r="A8" s="2" t="inlineStr">
        <is>
          <t>The FY2025 report also shows FY2024 figures - but restated. This document shows what Shoprite actually said at the time.</t>
        </is>
      </c>
    </row>
    <row r="9">
      <c r="A9" s="4" t="inlineStr">
        <is>
          <t>Revenue here is 246 082. In the FY2025 report, FY2024 revenue is 236 328. Both are correct.</t>
        </is>
      </c>
    </row>
    <row r="10">
      <c r="A10" s="2" t="inlineStr">
        <is>
          <t>That pair is on the Bitemporal_Pair sheet and is the reason M2.10 exists.</t>
        </is>
      </c>
    </row>
    <row r="11">
      <c r="A11" s="2" t="inlineStr"/>
    </row>
    <row r="12">
      <c r="A12" s="5" t="inlineStr">
        <is>
          <t>WHAT TO WATCH FOR</t>
        </is>
      </c>
    </row>
    <row r="13">
      <c r="A13" s="2" t="inlineStr">
        <is>
          <t>This document is NOT structurally the same as FY2025. Nine differences are catalogued on Structural_Changes.</t>
        </is>
      </c>
    </row>
    <row r="14">
      <c r="A14" s="2" t="inlineStr">
        <is>
          <t>The most consequential: note numbers shifted between years, so note references cannot be used as stable identifiers.</t>
        </is>
      </c>
    </row>
    <row r="15">
      <c r="A15" s="2" t="inlineStr">
        <is>
          <t>And: total profit and total HEPS are IDENTICAL before and after restatement - only the continuing/discontinued split moved.</t>
        </is>
      </c>
    </row>
    <row r="16">
      <c r="A16" s="4" t="inlineStr">
        <is>
          <t>A restatement detector comparing only headline totals would see nothing.</t>
        </is>
      </c>
    </row>
    <row r="17">
      <c r="A17" s="2" t="inlineStr"/>
    </row>
    <row r="18">
      <c r="A18" s="3" t="inlineStr">
        <is>
          <t>YOUR JOB</t>
        </is>
      </c>
    </row>
    <row r="19">
      <c r="A19" s="2" t="inlineStr">
        <is>
          <t>Verify each value against the stated pdf_page, then set verified to Y. Add anything surprising to Structural_Changes.</t>
        </is>
      </c>
    </row>
    <row r="20">
      <c r="A20" s="2" t="inlineStr">
        <is>
          <t>Open Checks - all twelve must read PASS before this becomes golden dataset.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9" customWidth="1" min="3" max="3"/>
    <col width="56" customWidth="1" min="4" max="4"/>
    <col width="9" customWidth="1" min="5" max="5"/>
    <col width="13" customWidth="1" min="6" max="6"/>
    <col width="15" customWidth="1" min="7" max="7"/>
    <col width="11" customWidth="1" min="8" max="8"/>
    <col width="10" customWidth="1" min="9" max="9"/>
    <col width="9" customWidth="1" min="10" max="10"/>
    <col width="10" customWidth="1" min="11" max="11"/>
    <col width="9" customWidth="1" min="12" max="12"/>
    <col width="30" customWidth="1" min="13" max="13"/>
    <col width="52" customWidth="1" min="14" max="14"/>
  </cols>
  <sheetData>
    <row r="1">
      <c r="A1" s="6" t="inlineStr">
        <is>
          <t>M2.10  Consolidated statement of comprehensive income - FY2024 as originally reported</t>
        </is>
      </c>
    </row>
    <row r="2">
      <c r="A2" s="7" t="inlineStr">
        <is>
          <t>Source: Shoprite Holdings Ltd, Annual Financial Statements 2024 (52 weeks ended 30 June 2024), file shp-afs-2024-print.pdf. pdf_page is the PDF page index, pre-filled. VERIFY each value against that page, then set verified to Y.</t>
        </is>
      </c>
    </row>
    <row r="3">
      <c r="A3" s="8" t="inlineStr">
        <is>
          <t>Four line items exist here that are GONE from the FY2025 statement: Insurance revenue, Insurance service expenses, Net monetary gain, and 'Other operating income' (renamed).</t>
        </is>
      </c>
    </row>
    <row r="4">
      <c r="A4" s="9" t="inlineStr">
        <is>
          <t>row_id</t>
        </is>
      </c>
      <c r="B4" s="9" t="inlineStr">
        <is>
          <t>statement</t>
        </is>
      </c>
      <c r="C4" s="9" t="inlineStr">
        <is>
          <t>note_ref</t>
        </is>
      </c>
      <c r="D4" s="9" t="inlineStr">
        <is>
          <t>as_reported_label</t>
        </is>
      </c>
      <c r="E4" s="9" t="inlineStr">
        <is>
          <t>period</t>
        </is>
      </c>
      <c r="F4" s="9" t="inlineStr">
        <is>
          <t>basis</t>
        </is>
      </c>
      <c r="G4" s="9" t="inlineStr">
        <is>
          <t>value_as_printed</t>
        </is>
      </c>
      <c r="H4" s="9" t="inlineStr">
        <is>
          <t>scale</t>
        </is>
      </c>
      <c r="I4" s="9" t="inlineStr">
        <is>
          <t>unit</t>
        </is>
      </c>
      <c r="J4" s="9" t="inlineStr">
        <is>
          <t>currency</t>
        </is>
      </c>
      <c r="K4" s="9" t="inlineStr">
        <is>
          <t>pdf_page</t>
        </is>
      </c>
      <c r="L4" s="9" t="inlineStr">
        <is>
          <t>verified</t>
        </is>
      </c>
      <c r="M4" s="9" t="inlineStr">
        <is>
          <t>concept_suggestion</t>
        </is>
      </c>
      <c r="N4" s="9" t="inlineStr">
        <is>
          <t>notes</t>
        </is>
      </c>
    </row>
    <row r="5">
      <c r="A5" s="10" t="n">
        <v>1</v>
      </c>
      <c r="B5" s="10" t="inlineStr">
        <is>
          <t>income_statement</t>
        </is>
      </c>
      <c r="C5" s="10" t="inlineStr">
        <is>
          <t>26</t>
        </is>
      </c>
      <c r="D5" s="10" t="inlineStr">
        <is>
          <t>Revenue</t>
        </is>
      </c>
      <c r="E5" s="10" t="inlineStr">
        <is>
          <t>FY2024</t>
        </is>
      </c>
      <c r="F5" s="10" t="inlineStr">
        <is>
          <t>as_reported</t>
        </is>
      </c>
      <c r="G5" s="11" t="n">
        <v>246082</v>
      </c>
      <c r="H5" s="10" t="inlineStr">
        <is>
          <t>millions</t>
        </is>
      </c>
      <c r="I5" s="10" t="inlineStr">
        <is>
          <t>currency</t>
        </is>
      </c>
      <c r="J5" s="10" t="inlineStr">
        <is>
          <t>ZAR</t>
        </is>
      </c>
      <c r="K5" s="10" t="n">
        <v>21</v>
      </c>
      <c r="L5" s="12" t="n"/>
      <c r="M5" s="10" t="inlineStr">
        <is>
          <t>revenue_total</t>
        </is>
      </c>
      <c r="N5" s="10" t="inlineStr">
        <is>
          <t>AS REPORTED. The FY2025 report restates this to 236 328</t>
        </is>
      </c>
    </row>
    <row r="6">
      <c r="A6" s="10" t="n">
        <v>2</v>
      </c>
      <c r="B6" s="10" t="inlineStr">
        <is>
          <t>income_statement</t>
        </is>
      </c>
      <c r="C6" s="10" t="inlineStr">
        <is>
          <t>26</t>
        </is>
      </c>
      <c r="D6" s="10" t="inlineStr">
        <is>
          <t>Revenue</t>
        </is>
      </c>
      <c r="E6" s="10" t="inlineStr">
        <is>
          <t>FY2023</t>
        </is>
      </c>
      <c r="F6" s="10" t="inlineStr">
        <is>
          <t>restated</t>
        </is>
      </c>
      <c r="G6" s="11" t="n">
        <v>219645</v>
      </c>
      <c r="H6" s="10" t="inlineStr">
        <is>
          <t>millions</t>
        </is>
      </c>
      <c r="I6" s="10" t="inlineStr">
        <is>
          <t>currency</t>
        </is>
      </c>
      <c r="J6" s="10" t="inlineStr">
        <is>
          <t>ZAR</t>
        </is>
      </c>
      <c r="K6" s="10" t="n">
        <v>21</v>
      </c>
      <c r="L6" s="12" t="n"/>
      <c r="M6" s="10" t="inlineStr">
        <is>
          <t>revenue_total</t>
        </is>
      </c>
      <c r="N6" s="10" t="inlineStr">
        <is>
          <t>FY2023 comparative restated for the adoption of IFRS 17 Insurance Contracts (note 45) - a DIFFERENT restatement reason than FY2025's</t>
        </is>
      </c>
    </row>
    <row r="7">
      <c r="A7" s="10" t="n">
        <v>3</v>
      </c>
      <c r="B7" s="10" t="inlineStr">
        <is>
          <t>income_statement</t>
        </is>
      </c>
      <c r="C7" s="10" t="inlineStr">
        <is>
          <t>26</t>
        </is>
      </c>
      <c r="D7" s="10" t="inlineStr">
        <is>
          <t>Sale of merchandise</t>
        </is>
      </c>
      <c r="E7" s="10" t="inlineStr">
        <is>
          <t>FY2024</t>
        </is>
      </c>
      <c r="F7" s="10" t="inlineStr">
        <is>
          <t>as_reported</t>
        </is>
      </c>
      <c r="G7" s="11" t="n">
        <v>240718</v>
      </c>
      <c r="H7" s="10" t="inlineStr">
        <is>
          <t>millions</t>
        </is>
      </c>
      <c r="I7" s="10" t="inlineStr">
        <is>
          <t>currency</t>
        </is>
      </c>
      <c r="J7" s="10" t="inlineStr">
        <is>
          <t>ZAR</t>
        </is>
      </c>
      <c r="K7" s="10" t="n">
        <v>21</v>
      </c>
      <c r="L7" s="12" t="n"/>
      <c r="M7" s="10" t="inlineStr">
        <is>
          <t>revenue</t>
        </is>
      </c>
      <c r="N7" s="10" t="inlineStr">
        <is>
          <t>FY2025 report restates to 232 088</t>
        </is>
      </c>
    </row>
    <row r="8">
      <c r="A8" s="10" t="n">
        <v>4</v>
      </c>
      <c r="B8" s="10" t="inlineStr">
        <is>
          <t>income_statement</t>
        </is>
      </c>
      <c r="C8" s="10" t="inlineStr">
        <is>
          <t>26</t>
        </is>
      </c>
      <c r="D8" s="10" t="inlineStr">
        <is>
          <t>Sale of merchandise</t>
        </is>
      </c>
      <c r="E8" s="10" t="inlineStr">
        <is>
          <t>FY2023</t>
        </is>
      </c>
      <c r="F8" s="10" t="inlineStr">
        <is>
          <t>restated</t>
        </is>
      </c>
      <c r="G8" s="11" t="n">
        <v>214956</v>
      </c>
      <c r="H8" s="10" t="inlineStr">
        <is>
          <t>millions</t>
        </is>
      </c>
      <c r="I8" s="10" t="inlineStr">
        <is>
          <t>currency</t>
        </is>
      </c>
      <c r="J8" s="10" t="inlineStr">
        <is>
          <t>ZAR</t>
        </is>
      </c>
      <c r="K8" s="10" t="n">
        <v>21</v>
      </c>
      <c r="L8" s="12" t="n"/>
      <c r="M8" s="10" t="inlineStr">
        <is>
          <t>revenue</t>
        </is>
      </c>
      <c r="N8" s="10" t="inlineStr">
        <is>
          <t>FY2023 comparative restated for the adoption of IFRS 17 Insurance Contracts (note 45) - a DIFFERENT restatement reason than FY2025's</t>
        </is>
      </c>
    </row>
    <row r="9">
      <c r="A9" s="10" t="n">
        <v>5</v>
      </c>
      <c r="B9" s="10" t="inlineStr">
        <is>
          <t>income_statement</t>
        </is>
      </c>
      <c r="C9" s="10" t="inlineStr"/>
      <c r="D9" s="10" t="inlineStr">
        <is>
          <t>Cost of sales</t>
        </is>
      </c>
      <c r="E9" s="10" t="inlineStr">
        <is>
          <t>FY2024</t>
        </is>
      </c>
      <c r="F9" s="10" t="inlineStr">
        <is>
          <t>as_reported</t>
        </is>
      </c>
      <c r="G9" s="11" t="n">
        <v>-182968</v>
      </c>
      <c r="H9" s="10" t="inlineStr">
        <is>
          <t>millions</t>
        </is>
      </c>
      <c r="I9" s="10" t="inlineStr">
        <is>
          <t>currency</t>
        </is>
      </c>
      <c r="J9" s="10" t="inlineStr">
        <is>
          <t>ZAR</t>
        </is>
      </c>
      <c r="K9" s="10" t="n">
        <v>21</v>
      </c>
      <c r="L9" s="12" t="n"/>
      <c r="M9" s="10" t="inlineStr">
        <is>
          <t>cost_of_sales</t>
        </is>
      </c>
      <c r="N9" s="10" t="inlineStr"/>
    </row>
    <row r="10">
      <c r="A10" s="10" t="n">
        <v>6</v>
      </c>
      <c r="B10" s="10" t="inlineStr">
        <is>
          <t>income_statement</t>
        </is>
      </c>
      <c r="C10" s="10" t="inlineStr"/>
      <c r="D10" s="10" t="inlineStr">
        <is>
          <t>Cost of sales</t>
        </is>
      </c>
      <c r="E10" s="10" t="inlineStr">
        <is>
          <t>FY2023</t>
        </is>
      </c>
      <c r="F10" s="10" t="inlineStr">
        <is>
          <t>restated</t>
        </is>
      </c>
      <c r="G10" s="11" t="n">
        <v>-163250</v>
      </c>
      <c r="H10" s="10" t="inlineStr">
        <is>
          <t>millions</t>
        </is>
      </c>
      <c r="I10" s="10" t="inlineStr">
        <is>
          <t>currency</t>
        </is>
      </c>
      <c r="J10" s="10" t="inlineStr">
        <is>
          <t>ZAR</t>
        </is>
      </c>
      <c r="K10" s="10" t="n">
        <v>21</v>
      </c>
      <c r="L10" s="12" t="n"/>
      <c r="M10" s="10" t="inlineStr">
        <is>
          <t>cost_of_sales</t>
        </is>
      </c>
      <c r="N10" s="10" t="inlineStr">
        <is>
          <t>FY2023 comparative restated for the adoption of IFRS 17 Insurance Contracts (note 45) - a DIFFERENT restatement reason than FY2025's</t>
        </is>
      </c>
    </row>
    <row r="11">
      <c r="A11" s="10" t="n">
        <v>7</v>
      </c>
      <c r="B11" s="10" t="inlineStr">
        <is>
          <t>income_statement</t>
        </is>
      </c>
      <c r="C11" s="10" t="inlineStr"/>
      <c r="D11" s="10" t="inlineStr">
        <is>
          <t>Gross profit</t>
        </is>
      </c>
      <c r="E11" s="10" t="inlineStr">
        <is>
          <t>FY2024</t>
        </is>
      </c>
      <c r="F11" s="10" t="inlineStr">
        <is>
          <t>as_reported</t>
        </is>
      </c>
      <c r="G11" s="11" t="n">
        <v>57750</v>
      </c>
      <c r="H11" s="10" t="inlineStr">
        <is>
          <t>millions</t>
        </is>
      </c>
      <c r="I11" s="10" t="inlineStr">
        <is>
          <t>currency</t>
        </is>
      </c>
      <c r="J11" s="10" t="inlineStr">
        <is>
          <t>ZAR</t>
        </is>
      </c>
      <c r="K11" s="10" t="n">
        <v>21</v>
      </c>
      <c r="L11" s="12" t="n"/>
      <c r="M11" s="10" t="inlineStr">
        <is>
          <t>gross_profit</t>
        </is>
      </c>
      <c r="N11" s="10" t="inlineStr"/>
    </row>
    <row r="12">
      <c r="A12" s="10" t="n">
        <v>8</v>
      </c>
      <c r="B12" s="10" t="inlineStr">
        <is>
          <t>income_statement</t>
        </is>
      </c>
      <c r="C12" s="10" t="inlineStr"/>
      <c r="D12" s="10" t="inlineStr">
        <is>
          <t>Gross profit</t>
        </is>
      </c>
      <c r="E12" s="10" t="inlineStr">
        <is>
          <t>FY2023</t>
        </is>
      </c>
      <c r="F12" s="10" t="inlineStr">
        <is>
          <t>restated</t>
        </is>
      </c>
      <c r="G12" s="11" t="n">
        <v>51706</v>
      </c>
      <c r="H12" s="10" t="inlineStr">
        <is>
          <t>millions</t>
        </is>
      </c>
      <c r="I12" s="10" t="inlineStr">
        <is>
          <t>currency</t>
        </is>
      </c>
      <c r="J12" s="10" t="inlineStr">
        <is>
          <t>ZAR</t>
        </is>
      </c>
      <c r="K12" s="10" t="n">
        <v>21</v>
      </c>
      <c r="L12" s="12" t="n"/>
      <c r="M12" s="10" t="inlineStr">
        <is>
          <t>gross_profit</t>
        </is>
      </c>
      <c r="N12" s="10" t="inlineStr">
        <is>
          <t>FY2023 comparative restated for the adoption of IFRS 17 Insurance Contracts (note 45) - a DIFFERENT restatement reason than FY2025's</t>
        </is>
      </c>
    </row>
    <row r="13">
      <c r="A13" s="10" t="n">
        <v>9</v>
      </c>
      <c r="B13" s="10" t="inlineStr">
        <is>
          <t>income_statement</t>
        </is>
      </c>
      <c r="C13" s="10" t="inlineStr">
        <is>
          <t>26</t>
        </is>
      </c>
      <c r="D13" s="10" t="inlineStr">
        <is>
          <t>Other operating income</t>
        </is>
      </c>
      <c r="E13" s="10" t="inlineStr">
        <is>
          <t>FY2024</t>
        </is>
      </c>
      <c r="F13" s="10" t="inlineStr">
        <is>
          <t>as_reported</t>
        </is>
      </c>
      <c r="G13" s="11" t="n">
        <v>4307</v>
      </c>
      <c r="H13" s="10" t="inlineStr">
        <is>
          <t>millions</t>
        </is>
      </c>
      <c r="I13" s="10" t="inlineStr">
        <is>
          <t>currency</t>
        </is>
      </c>
      <c r="J13" s="10" t="inlineStr">
        <is>
          <t>ZAR</t>
        </is>
      </c>
      <c r="K13" s="10" t="n">
        <v>21</v>
      </c>
      <c r="L13" s="12" t="n"/>
      <c r="M13" s="10" t="inlineStr">
        <is>
          <t>alternative_revenue</t>
        </is>
      </c>
      <c r="N13" s="10" t="inlineStr">
        <is>
          <t>LABEL CHANGED: renamed 'Alternative revenue' in FY2025</t>
        </is>
      </c>
    </row>
    <row r="14">
      <c r="A14" s="10" t="n">
        <v>10</v>
      </c>
      <c r="B14" s="10" t="inlineStr">
        <is>
          <t>income_statement</t>
        </is>
      </c>
      <c r="C14" s="10" t="inlineStr">
        <is>
          <t>26</t>
        </is>
      </c>
      <c r="D14" s="10" t="inlineStr">
        <is>
          <t>Other operating income</t>
        </is>
      </c>
      <c r="E14" s="10" t="inlineStr">
        <is>
          <t>FY2023</t>
        </is>
      </c>
      <c r="F14" s="10" t="inlineStr">
        <is>
          <t>restated</t>
        </is>
      </c>
      <c r="G14" s="11" t="n">
        <v>3738</v>
      </c>
      <c r="H14" s="10" t="inlineStr">
        <is>
          <t>millions</t>
        </is>
      </c>
      <c r="I14" s="10" t="inlineStr">
        <is>
          <t>currency</t>
        </is>
      </c>
      <c r="J14" s="10" t="inlineStr">
        <is>
          <t>ZAR</t>
        </is>
      </c>
      <c r="K14" s="10" t="n">
        <v>21</v>
      </c>
      <c r="L14" s="12" t="n"/>
      <c r="M14" s="10" t="inlineStr">
        <is>
          <t>alternative_revenue</t>
        </is>
      </c>
      <c r="N14" s="10" t="inlineStr">
        <is>
          <t>FY2023 comparative restated for the adoption of IFRS 17 Insurance Contracts (note 45) - a DIFFERENT restatement reason than FY2025's</t>
        </is>
      </c>
    </row>
    <row r="15">
      <c r="A15" s="10" t="n">
        <v>11</v>
      </c>
      <c r="B15" s="10" t="inlineStr">
        <is>
          <t>income_statement</t>
        </is>
      </c>
      <c r="C15" s="10" t="inlineStr">
        <is>
          <t>26</t>
        </is>
      </c>
      <c r="D15" s="10" t="inlineStr">
        <is>
          <t>Interest revenue</t>
        </is>
      </c>
      <c r="E15" s="10" t="inlineStr">
        <is>
          <t>FY2024</t>
        </is>
      </c>
      <c r="F15" s="10" t="inlineStr">
        <is>
          <t>as_reported</t>
        </is>
      </c>
      <c r="G15" s="11" t="n">
        <v>759</v>
      </c>
      <c r="H15" s="10" t="inlineStr">
        <is>
          <t>millions</t>
        </is>
      </c>
      <c r="I15" s="10" t="inlineStr">
        <is>
          <t>currency</t>
        </is>
      </c>
      <c r="J15" s="10" t="inlineStr">
        <is>
          <t>ZAR</t>
        </is>
      </c>
      <c r="K15" s="10" t="n">
        <v>21</v>
      </c>
      <c r="L15" s="12" t="n"/>
      <c r="M15" s="10" t="inlineStr">
        <is>
          <t>interest_revenue</t>
        </is>
      </c>
      <c r="N15" s="10" t="inlineStr"/>
    </row>
    <row r="16">
      <c r="A16" s="10" t="n">
        <v>12</v>
      </c>
      <c r="B16" s="10" t="inlineStr">
        <is>
          <t>income_statement</t>
        </is>
      </c>
      <c r="C16" s="10" t="inlineStr">
        <is>
          <t>26</t>
        </is>
      </c>
      <c r="D16" s="10" t="inlineStr">
        <is>
          <t>Interest revenue</t>
        </is>
      </c>
      <c r="E16" s="10" t="inlineStr">
        <is>
          <t>FY2023</t>
        </is>
      </c>
      <c r="F16" s="10" t="inlineStr">
        <is>
          <t>restated</t>
        </is>
      </c>
      <c r="G16" s="11" t="n">
        <v>701</v>
      </c>
      <c r="H16" s="10" t="inlineStr">
        <is>
          <t>millions</t>
        </is>
      </c>
      <c r="I16" s="10" t="inlineStr">
        <is>
          <t>currency</t>
        </is>
      </c>
      <c r="J16" s="10" t="inlineStr">
        <is>
          <t>ZAR</t>
        </is>
      </c>
      <c r="K16" s="10" t="n">
        <v>21</v>
      </c>
      <c r="L16" s="12" t="n"/>
      <c r="M16" s="10" t="inlineStr">
        <is>
          <t>interest_revenue</t>
        </is>
      </c>
      <c r="N16" s="10" t="inlineStr">
        <is>
          <t>FY2023 comparative restated for the adoption of IFRS 17 Insurance Contracts (note 45) - a DIFFERENT restatement reason than FY2025's</t>
        </is>
      </c>
    </row>
    <row r="17">
      <c r="A17" s="10" t="n">
        <v>13</v>
      </c>
      <c r="B17" s="10" t="inlineStr">
        <is>
          <t>income_statement</t>
        </is>
      </c>
      <c r="C17" s="10" t="inlineStr">
        <is>
          <t>9</t>
        </is>
      </c>
      <c r="D17" s="10" t="inlineStr">
        <is>
          <t>Share of profit of equity accounted investments</t>
        </is>
      </c>
      <c r="E17" s="10" t="inlineStr">
        <is>
          <t>FY2024</t>
        </is>
      </c>
      <c r="F17" s="10" t="inlineStr">
        <is>
          <t>as_reported</t>
        </is>
      </c>
      <c r="G17" s="11" t="n">
        <v>268</v>
      </c>
      <c r="H17" s="10" t="inlineStr">
        <is>
          <t>millions</t>
        </is>
      </c>
      <c r="I17" s="10" t="inlineStr">
        <is>
          <t>currency</t>
        </is>
      </c>
      <c r="J17" s="10" t="inlineStr">
        <is>
          <t>ZAR</t>
        </is>
      </c>
      <c r="K17" s="10" t="n">
        <v>21</v>
      </c>
      <c r="L17" s="12" t="n"/>
      <c r="M17" s="10" t="inlineStr">
        <is>
          <t>equity_accounted_profit</t>
        </is>
      </c>
      <c r="N17" s="10" t="inlineStr"/>
    </row>
    <row r="18">
      <c r="A18" s="10" t="n">
        <v>14</v>
      </c>
      <c r="B18" s="10" t="inlineStr">
        <is>
          <t>income_statement</t>
        </is>
      </c>
      <c r="C18" s="10" t="inlineStr">
        <is>
          <t>9</t>
        </is>
      </c>
      <c r="D18" s="10" t="inlineStr">
        <is>
          <t>Share of profit of equity accounted investments</t>
        </is>
      </c>
      <c r="E18" s="10" t="inlineStr">
        <is>
          <t>FY2023</t>
        </is>
      </c>
      <c r="F18" s="10" t="inlineStr">
        <is>
          <t>restated</t>
        </is>
      </c>
      <c r="G18" s="11" t="n">
        <v>251</v>
      </c>
      <c r="H18" s="10" t="inlineStr">
        <is>
          <t>millions</t>
        </is>
      </c>
      <c r="I18" s="10" t="inlineStr">
        <is>
          <t>currency</t>
        </is>
      </c>
      <c r="J18" s="10" t="inlineStr">
        <is>
          <t>ZAR</t>
        </is>
      </c>
      <c r="K18" s="10" t="n">
        <v>21</v>
      </c>
      <c r="L18" s="12" t="n"/>
      <c r="M18" s="10" t="inlineStr">
        <is>
          <t>equity_accounted_profit</t>
        </is>
      </c>
      <c r="N18" s="10" t="inlineStr">
        <is>
          <t>FY2023 comparative restated for the adoption of IFRS 17 Insurance Contracts (note 45) - a DIFFERENT restatement reason than FY2025's</t>
        </is>
      </c>
    </row>
    <row r="19">
      <c r="A19" s="10" t="n">
        <v>15</v>
      </c>
      <c r="B19" s="10" t="inlineStr">
        <is>
          <t>income_statement</t>
        </is>
      </c>
      <c r="C19" s="10" t="inlineStr">
        <is>
          <t>26</t>
        </is>
      </c>
      <c r="D19" s="10" t="inlineStr">
        <is>
          <t>Insurance revenue</t>
        </is>
      </c>
      <c r="E19" s="10" t="inlineStr">
        <is>
          <t>FY2024</t>
        </is>
      </c>
      <c r="F19" s="10" t="inlineStr">
        <is>
          <t>as_reported</t>
        </is>
      </c>
      <c r="G19" s="11" t="n">
        <v>298</v>
      </c>
      <c r="H19" s="10" t="inlineStr">
        <is>
          <t>millions</t>
        </is>
      </c>
      <c r="I19" s="10" t="inlineStr">
        <is>
          <t>currency</t>
        </is>
      </c>
      <c r="J19" s="10" t="inlineStr">
        <is>
          <t>ZAR</t>
        </is>
      </c>
      <c r="K19" s="10" t="n">
        <v>21</v>
      </c>
      <c r="L19" s="12" t="n"/>
      <c r="M19" s="10" t="inlineStr">
        <is>
          <t>insurance_revenue</t>
        </is>
      </c>
      <c r="N19" s="10" t="inlineStr">
        <is>
          <t>LINE DISAPPEARS in FY2025 - reclassified to discontinued operations</t>
        </is>
      </c>
    </row>
    <row r="20">
      <c r="A20" s="10" t="n">
        <v>16</v>
      </c>
      <c r="B20" s="10" t="inlineStr">
        <is>
          <t>income_statement</t>
        </is>
      </c>
      <c r="C20" s="10" t="inlineStr">
        <is>
          <t>26</t>
        </is>
      </c>
      <c r="D20" s="10" t="inlineStr">
        <is>
          <t>Insurance revenue</t>
        </is>
      </c>
      <c r="E20" s="10" t="inlineStr">
        <is>
          <t>FY2023</t>
        </is>
      </c>
      <c r="F20" s="10" t="inlineStr">
        <is>
          <t>restated</t>
        </is>
      </c>
      <c r="G20" s="11" t="n">
        <v>250</v>
      </c>
      <c r="H20" s="10" t="inlineStr">
        <is>
          <t>millions</t>
        </is>
      </c>
      <c r="I20" s="10" t="inlineStr">
        <is>
          <t>currency</t>
        </is>
      </c>
      <c r="J20" s="10" t="inlineStr">
        <is>
          <t>ZAR</t>
        </is>
      </c>
      <c r="K20" s="10" t="n">
        <v>21</v>
      </c>
      <c r="L20" s="12" t="n"/>
      <c r="M20" s="10" t="inlineStr">
        <is>
          <t>insurance_revenue</t>
        </is>
      </c>
      <c r="N20" s="10" t="inlineStr">
        <is>
          <t>FY2023 comparative restated for the adoption of IFRS 17 Insurance Contracts (note 45) - a DIFFERENT restatement reason than FY2025's</t>
        </is>
      </c>
    </row>
    <row r="21">
      <c r="A21" s="10" t="n">
        <v>17</v>
      </c>
      <c r="B21" s="10" t="inlineStr">
        <is>
          <t>income_statement</t>
        </is>
      </c>
      <c r="C21" s="10" t="inlineStr">
        <is>
          <t>12</t>
        </is>
      </c>
      <c r="D21" s="10" t="inlineStr">
        <is>
          <t>Insurance service expenses</t>
        </is>
      </c>
      <c r="E21" s="10" t="inlineStr">
        <is>
          <t>FY2024</t>
        </is>
      </c>
      <c r="F21" s="10" t="inlineStr">
        <is>
          <t>as_reported</t>
        </is>
      </c>
      <c r="G21" s="11" t="n">
        <v>-178</v>
      </c>
      <c r="H21" s="10" t="inlineStr">
        <is>
          <t>millions</t>
        </is>
      </c>
      <c r="I21" s="10" t="inlineStr">
        <is>
          <t>currency</t>
        </is>
      </c>
      <c r="J21" s="10" t="inlineStr">
        <is>
          <t>ZAR</t>
        </is>
      </c>
      <c r="K21" s="10" t="n">
        <v>21</v>
      </c>
      <c r="L21" s="12" t="n"/>
      <c r="M21" s="10" t="inlineStr">
        <is>
          <t>insurance_service_expenses</t>
        </is>
      </c>
      <c r="N21" s="10" t="inlineStr">
        <is>
          <t>LINE DISAPPEARS in FY2025</t>
        </is>
      </c>
    </row>
    <row r="22">
      <c r="A22" s="10" t="n">
        <v>18</v>
      </c>
      <c r="B22" s="10" t="inlineStr">
        <is>
          <t>income_statement</t>
        </is>
      </c>
      <c r="C22" s="10" t="inlineStr">
        <is>
          <t>12</t>
        </is>
      </c>
      <c r="D22" s="10" t="inlineStr">
        <is>
          <t>Insurance service expenses</t>
        </is>
      </c>
      <c r="E22" s="10" t="inlineStr">
        <is>
          <t>FY2023</t>
        </is>
      </c>
      <c r="F22" s="10" t="inlineStr">
        <is>
          <t>restated</t>
        </is>
      </c>
      <c r="G22" s="11" t="n">
        <v>-133</v>
      </c>
      <c r="H22" s="10" t="inlineStr">
        <is>
          <t>millions</t>
        </is>
      </c>
      <c r="I22" s="10" t="inlineStr">
        <is>
          <t>currency</t>
        </is>
      </c>
      <c r="J22" s="10" t="inlineStr">
        <is>
          <t>ZAR</t>
        </is>
      </c>
      <c r="K22" s="10" t="n">
        <v>21</v>
      </c>
      <c r="L22" s="12" t="n"/>
      <c r="M22" s="10" t="inlineStr">
        <is>
          <t>insurance_service_expenses</t>
        </is>
      </c>
      <c r="N22" s="10" t="inlineStr">
        <is>
          <t>FY2023 comparative restated for the adoption of IFRS 17 Insurance Contracts (note 45) - a DIFFERENT restatement reason than FY2025's</t>
        </is>
      </c>
    </row>
    <row r="23">
      <c r="A23" s="10" t="n">
        <v>19</v>
      </c>
      <c r="B23" s="10" t="inlineStr">
        <is>
          <t>income_statement</t>
        </is>
      </c>
      <c r="C23" s="10" t="inlineStr">
        <is>
          <t>27</t>
        </is>
      </c>
      <c r="D23" s="10" t="inlineStr">
        <is>
          <t>Depreciation and amortisation</t>
        </is>
      </c>
      <c r="E23" s="10" t="inlineStr">
        <is>
          <t>FY2024</t>
        </is>
      </c>
      <c r="F23" s="10" t="inlineStr">
        <is>
          <t>as_reported</t>
        </is>
      </c>
      <c r="G23" s="11" t="n">
        <v>-7264</v>
      </c>
      <c r="H23" s="10" t="inlineStr">
        <is>
          <t>millions</t>
        </is>
      </c>
      <c r="I23" s="10" t="inlineStr">
        <is>
          <t>currency</t>
        </is>
      </c>
      <c r="J23" s="10" t="inlineStr">
        <is>
          <t>ZAR</t>
        </is>
      </c>
      <c r="K23" s="10" t="n">
        <v>21</v>
      </c>
      <c r="L23" s="12" t="n"/>
      <c r="M23" s="10" t="inlineStr">
        <is>
          <t>depreciation_amortisation</t>
        </is>
      </c>
      <c r="N23" s="10" t="inlineStr"/>
    </row>
    <row r="24">
      <c r="A24" s="10" t="n">
        <v>20</v>
      </c>
      <c r="B24" s="10" t="inlineStr">
        <is>
          <t>income_statement</t>
        </is>
      </c>
      <c r="C24" s="10" t="inlineStr">
        <is>
          <t>27</t>
        </is>
      </c>
      <c r="D24" s="10" t="inlineStr">
        <is>
          <t>Depreciation and amortisation</t>
        </is>
      </c>
      <c r="E24" s="10" t="inlineStr">
        <is>
          <t>FY2023</t>
        </is>
      </c>
      <c r="F24" s="10" t="inlineStr">
        <is>
          <t>restated</t>
        </is>
      </c>
      <c r="G24" s="11" t="n">
        <v>-6305</v>
      </c>
      <c r="H24" s="10" t="inlineStr">
        <is>
          <t>millions</t>
        </is>
      </c>
      <c r="I24" s="10" t="inlineStr">
        <is>
          <t>currency</t>
        </is>
      </c>
      <c r="J24" s="10" t="inlineStr">
        <is>
          <t>ZAR</t>
        </is>
      </c>
      <c r="K24" s="10" t="n">
        <v>21</v>
      </c>
      <c r="L24" s="12" t="n"/>
      <c r="M24" s="10" t="inlineStr">
        <is>
          <t>depreciation_amortisation</t>
        </is>
      </c>
      <c r="N24" s="10" t="inlineStr">
        <is>
          <t>FY2023 comparative restated for the adoption of IFRS 17 Insurance Contracts (note 45) - a DIFFERENT restatement reason than FY2025's</t>
        </is>
      </c>
    </row>
    <row r="25">
      <c r="A25" s="10" t="n">
        <v>21</v>
      </c>
      <c r="B25" s="10" t="inlineStr">
        <is>
          <t>income_statement</t>
        </is>
      </c>
      <c r="C25" s="10" t="inlineStr">
        <is>
          <t>28</t>
        </is>
      </c>
      <c r="D25" s="10" t="inlineStr">
        <is>
          <t>Employee benefits</t>
        </is>
      </c>
      <c r="E25" s="10" t="inlineStr">
        <is>
          <t>FY2024</t>
        </is>
      </c>
      <c r="F25" s="10" t="inlineStr">
        <is>
          <t>as_reported</t>
        </is>
      </c>
      <c r="G25" s="11" t="n">
        <v>-19242</v>
      </c>
      <c r="H25" s="10" t="inlineStr">
        <is>
          <t>millions</t>
        </is>
      </c>
      <c r="I25" s="10" t="inlineStr">
        <is>
          <t>currency</t>
        </is>
      </c>
      <c r="J25" s="10" t="inlineStr">
        <is>
          <t>ZAR</t>
        </is>
      </c>
      <c r="K25" s="10" t="n">
        <v>21</v>
      </c>
      <c r="L25" s="12" t="n"/>
      <c r="M25" s="10" t="inlineStr">
        <is>
          <t>employee_benefits</t>
        </is>
      </c>
      <c r="N25" s="10" t="inlineStr"/>
    </row>
    <row r="26">
      <c r="A26" s="10" t="n">
        <v>22</v>
      </c>
      <c r="B26" s="10" t="inlineStr">
        <is>
          <t>income_statement</t>
        </is>
      </c>
      <c r="C26" s="10" t="inlineStr">
        <is>
          <t>28</t>
        </is>
      </c>
      <c r="D26" s="10" t="inlineStr">
        <is>
          <t>Employee benefits</t>
        </is>
      </c>
      <c r="E26" s="10" t="inlineStr">
        <is>
          <t>FY2023</t>
        </is>
      </c>
      <c r="F26" s="10" t="inlineStr">
        <is>
          <t>restated</t>
        </is>
      </c>
      <c r="G26" s="11" t="n">
        <v>-17027</v>
      </c>
      <c r="H26" s="10" t="inlineStr">
        <is>
          <t>millions</t>
        </is>
      </c>
      <c r="I26" s="10" t="inlineStr">
        <is>
          <t>currency</t>
        </is>
      </c>
      <c r="J26" s="10" t="inlineStr">
        <is>
          <t>ZAR</t>
        </is>
      </c>
      <c r="K26" s="10" t="n">
        <v>21</v>
      </c>
      <c r="L26" s="12" t="n"/>
      <c r="M26" s="10" t="inlineStr">
        <is>
          <t>employee_benefits</t>
        </is>
      </c>
      <c r="N26" s="10" t="inlineStr">
        <is>
          <t>FY2023 comparative restated for the adoption of IFRS 17 Insurance Contracts (note 45) - a DIFFERENT restatement reason than FY2025's</t>
        </is>
      </c>
    </row>
    <row r="27">
      <c r="A27" s="10" t="n">
        <v>23</v>
      </c>
      <c r="B27" s="10" t="inlineStr">
        <is>
          <t>income_statement</t>
        </is>
      </c>
      <c r="C27" s="10" t="inlineStr">
        <is>
          <t>43.4.1</t>
        </is>
      </c>
      <c r="D27" s="10" t="inlineStr">
        <is>
          <t>Credit impairment losses</t>
        </is>
      </c>
      <c r="E27" s="10" t="inlineStr">
        <is>
          <t>FY2024</t>
        </is>
      </c>
      <c r="F27" s="10" t="inlineStr">
        <is>
          <t>as_reported</t>
        </is>
      </c>
      <c r="G27" s="11" t="n">
        <v>-381</v>
      </c>
      <c r="H27" s="10" t="inlineStr">
        <is>
          <t>millions</t>
        </is>
      </c>
      <c r="I27" s="10" t="inlineStr">
        <is>
          <t>currency</t>
        </is>
      </c>
      <c r="J27" s="10" t="inlineStr">
        <is>
          <t>ZAR</t>
        </is>
      </c>
      <c r="K27" s="10" t="n">
        <v>21</v>
      </c>
      <c r="L27" s="12" t="n"/>
      <c r="M27" s="10" t="inlineStr">
        <is>
          <t>credit_impairment_losses</t>
        </is>
      </c>
      <c r="N27" s="10" t="inlineStr"/>
    </row>
    <row r="28">
      <c r="A28" s="10" t="n">
        <v>24</v>
      </c>
      <c r="B28" s="10" t="inlineStr">
        <is>
          <t>income_statement</t>
        </is>
      </c>
      <c r="C28" s="10" t="inlineStr">
        <is>
          <t>43.4.1</t>
        </is>
      </c>
      <c r="D28" s="10" t="inlineStr">
        <is>
          <t>Credit impairment losses</t>
        </is>
      </c>
      <c r="E28" s="10" t="inlineStr">
        <is>
          <t>FY2023</t>
        </is>
      </c>
      <c r="F28" s="10" t="inlineStr">
        <is>
          <t>restated</t>
        </is>
      </c>
      <c r="G28" s="11" t="n">
        <v>-264</v>
      </c>
      <c r="H28" s="10" t="inlineStr">
        <is>
          <t>millions</t>
        </is>
      </c>
      <c r="I28" s="10" t="inlineStr">
        <is>
          <t>currency</t>
        </is>
      </c>
      <c r="J28" s="10" t="inlineStr">
        <is>
          <t>ZAR</t>
        </is>
      </c>
      <c r="K28" s="10" t="n">
        <v>21</v>
      </c>
      <c r="L28" s="12" t="n"/>
      <c r="M28" s="10" t="inlineStr">
        <is>
          <t>credit_impairment_losses</t>
        </is>
      </c>
      <c r="N28" s="10" t="inlineStr">
        <is>
          <t>FY2023 comparative restated for the adoption of IFRS 17 Insurance Contracts (note 45) - a DIFFERENT restatement reason than FY2025's</t>
        </is>
      </c>
    </row>
    <row r="29">
      <c r="A29" s="10" t="n">
        <v>25</v>
      </c>
      <c r="B29" s="10" t="inlineStr">
        <is>
          <t>income_statement</t>
        </is>
      </c>
      <c r="C29" s="10" t="inlineStr">
        <is>
          <t>30</t>
        </is>
      </c>
      <c r="D29" s="10" t="inlineStr">
        <is>
          <t>Other operating expenses</t>
        </is>
      </c>
      <c r="E29" s="10" t="inlineStr">
        <is>
          <t>FY2024</t>
        </is>
      </c>
      <c r="F29" s="10" t="inlineStr">
        <is>
          <t>as_reported</t>
        </is>
      </c>
      <c r="G29" s="11" t="n">
        <v>-23053</v>
      </c>
      <c r="H29" s="10" t="inlineStr">
        <is>
          <t>millions</t>
        </is>
      </c>
      <c r="I29" s="10" t="inlineStr">
        <is>
          <t>currency</t>
        </is>
      </c>
      <c r="J29" s="10" t="inlineStr">
        <is>
          <t>ZAR</t>
        </is>
      </c>
      <c r="K29" s="10" t="n">
        <v>21</v>
      </c>
      <c r="L29" s="12" t="n"/>
      <c r="M29" s="10" t="inlineStr">
        <is>
          <t>other_operating_expenses</t>
        </is>
      </c>
      <c r="N29" s="10" t="inlineStr"/>
    </row>
    <row r="30">
      <c r="A30" s="10" t="n">
        <v>26</v>
      </c>
      <c r="B30" s="10" t="inlineStr">
        <is>
          <t>income_statement</t>
        </is>
      </c>
      <c r="C30" s="10" t="inlineStr">
        <is>
          <t>30</t>
        </is>
      </c>
      <c r="D30" s="10" t="inlineStr">
        <is>
          <t>Other operating expenses</t>
        </is>
      </c>
      <c r="E30" s="10" t="inlineStr">
        <is>
          <t>FY2023</t>
        </is>
      </c>
      <c r="F30" s="10" t="inlineStr">
        <is>
          <t>restated</t>
        </is>
      </c>
      <c r="G30" s="11" t="n">
        <v>-20998</v>
      </c>
      <c r="H30" s="10" t="inlineStr">
        <is>
          <t>millions</t>
        </is>
      </c>
      <c r="I30" s="10" t="inlineStr">
        <is>
          <t>currency</t>
        </is>
      </c>
      <c r="J30" s="10" t="inlineStr">
        <is>
          <t>ZAR</t>
        </is>
      </c>
      <c r="K30" s="10" t="n">
        <v>21</v>
      </c>
      <c r="L30" s="12" t="n"/>
      <c r="M30" s="10" t="inlineStr">
        <is>
          <t>other_operating_expenses</t>
        </is>
      </c>
      <c r="N30" s="10" t="inlineStr">
        <is>
          <t>FY2023 comparative restated for the adoption of IFRS 17 Insurance Contracts (note 45) - a DIFFERENT restatement reason than FY2025's</t>
        </is>
      </c>
    </row>
    <row r="31">
      <c r="A31" s="10" t="n">
        <v>27</v>
      </c>
      <c r="B31" s="10" t="inlineStr">
        <is>
          <t>income_statement</t>
        </is>
      </c>
      <c r="C31" s="10" t="inlineStr"/>
      <c r="D31" s="10" t="inlineStr">
        <is>
          <t>Net monetary gain</t>
        </is>
      </c>
      <c r="E31" s="10" t="inlineStr">
        <is>
          <t>FY2024</t>
        </is>
      </c>
      <c r="F31" s="10" t="inlineStr">
        <is>
          <t>as_reported</t>
        </is>
      </c>
      <c r="G31" s="11" t="n">
        <v>135</v>
      </c>
      <c r="H31" s="10" t="inlineStr">
        <is>
          <t>millions</t>
        </is>
      </c>
      <c r="I31" s="10" t="inlineStr">
        <is>
          <t>currency</t>
        </is>
      </c>
      <c r="J31" s="10" t="inlineStr">
        <is>
          <t>ZAR</t>
        </is>
      </c>
      <c r="K31" s="10" t="n">
        <v>21</v>
      </c>
      <c r="L31" s="12" t="n"/>
      <c r="M31" s="10" t="inlineStr">
        <is>
          <t>net_monetary_gain</t>
        </is>
      </c>
      <c r="N31" s="10" t="inlineStr">
        <is>
          <t>IAS 29 hyperinflation. LINE DISAPPEARS from the face of the FY2025 statement</t>
        </is>
      </c>
    </row>
    <row r="32">
      <c r="A32" s="10" t="n">
        <v>28</v>
      </c>
      <c r="B32" s="10" t="inlineStr">
        <is>
          <t>income_statement</t>
        </is>
      </c>
      <c r="C32" s="10" t="inlineStr"/>
      <c r="D32" s="10" t="inlineStr">
        <is>
          <t>Net monetary gain</t>
        </is>
      </c>
      <c r="E32" s="10" t="inlineStr">
        <is>
          <t>FY2023</t>
        </is>
      </c>
      <c r="F32" s="10" t="inlineStr">
        <is>
          <t>restated</t>
        </is>
      </c>
      <c r="G32" s="11" t="n">
        <v>0</v>
      </c>
      <c r="H32" s="10" t="inlineStr">
        <is>
          <t>millions</t>
        </is>
      </c>
      <c r="I32" s="10" t="inlineStr">
        <is>
          <t>currency</t>
        </is>
      </c>
      <c r="J32" s="10" t="inlineStr">
        <is>
          <t>ZAR</t>
        </is>
      </c>
      <c r="K32" s="10" t="n">
        <v>21</v>
      </c>
      <c r="L32" s="12" t="n"/>
      <c r="M32" s="10" t="inlineStr">
        <is>
          <t>net_monetary_gain</t>
        </is>
      </c>
      <c r="N32" s="10" t="inlineStr">
        <is>
          <t>FY2023 comparative restated for the adoption of IFRS 17 Insurance Contracts (note 45) - a DIFFERENT restatement reason than FY2025's</t>
        </is>
      </c>
    </row>
    <row r="33">
      <c r="A33" s="10" t="n">
        <v>29</v>
      </c>
      <c r="B33" s="10" t="inlineStr">
        <is>
          <t>income_statement</t>
        </is>
      </c>
      <c r="C33" s="10" t="inlineStr"/>
      <c r="D33" s="10" t="inlineStr">
        <is>
          <t>Trading profit</t>
        </is>
      </c>
      <c r="E33" s="10" t="inlineStr">
        <is>
          <t>FY2024</t>
        </is>
      </c>
      <c r="F33" s="10" t="inlineStr">
        <is>
          <t>as_reported</t>
        </is>
      </c>
      <c r="G33" s="11" t="n">
        <v>13399</v>
      </c>
      <c r="H33" s="10" t="inlineStr">
        <is>
          <t>millions</t>
        </is>
      </c>
      <c r="I33" s="10" t="inlineStr">
        <is>
          <t>currency</t>
        </is>
      </c>
      <c r="J33" s="10" t="inlineStr">
        <is>
          <t>ZAR</t>
        </is>
      </c>
      <c r="K33" s="10" t="n">
        <v>21</v>
      </c>
      <c r="L33" s="12" t="n"/>
      <c r="M33" s="10" t="inlineStr">
        <is>
          <t>trading_profit</t>
        </is>
      </c>
      <c r="N33" s="10" t="inlineStr">
        <is>
          <t>Company-defined measure</t>
        </is>
      </c>
    </row>
    <row r="34">
      <c r="A34" s="10" t="n">
        <v>30</v>
      </c>
      <c r="B34" s="10" t="inlineStr">
        <is>
          <t>income_statement</t>
        </is>
      </c>
      <c r="C34" s="10" t="inlineStr"/>
      <c r="D34" s="10" t="inlineStr">
        <is>
          <t>Trading profit</t>
        </is>
      </c>
      <c r="E34" s="10" t="inlineStr">
        <is>
          <t>FY2023</t>
        </is>
      </c>
      <c r="F34" s="10" t="inlineStr">
        <is>
          <t>restated</t>
        </is>
      </c>
      <c r="G34" s="11" t="n">
        <v>11919</v>
      </c>
      <c r="H34" s="10" t="inlineStr">
        <is>
          <t>millions</t>
        </is>
      </c>
      <c r="I34" s="10" t="inlineStr">
        <is>
          <t>currency</t>
        </is>
      </c>
      <c r="J34" s="10" t="inlineStr">
        <is>
          <t>ZAR</t>
        </is>
      </c>
      <c r="K34" s="10" t="n">
        <v>21</v>
      </c>
      <c r="L34" s="12" t="n"/>
      <c r="M34" s="10" t="inlineStr">
        <is>
          <t>trading_profit</t>
        </is>
      </c>
      <c r="N34" s="10" t="inlineStr">
        <is>
          <t>FY2023 comparative restated for the adoption of IFRS 17 Insurance Contracts (note 45) - a DIFFERENT restatement reason than FY2025's</t>
        </is>
      </c>
    </row>
    <row r="35">
      <c r="A35" s="10" t="n">
        <v>31</v>
      </c>
      <c r="B35" s="10" t="inlineStr">
        <is>
          <t>income_statement</t>
        </is>
      </c>
      <c r="C35" s="10" t="inlineStr"/>
      <c r="D35" s="10" t="inlineStr">
        <is>
          <t>Exchange rate (losses)/gains</t>
        </is>
      </c>
      <c r="E35" s="10" t="inlineStr">
        <is>
          <t>FY2024</t>
        </is>
      </c>
      <c r="F35" s="10" t="inlineStr">
        <is>
          <t>as_reported</t>
        </is>
      </c>
      <c r="G35" s="11" t="n">
        <v>-14</v>
      </c>
      <c r="H35" s="10" t="inlineStr">
        <is>
          <t>millions</t>
        </is>
      </c>
      <c r="I35" s="10" t="inlineStr">
        <is>
          <t>currency</t>
        </is>
      </c>
      <c r="J35" s="10" t="inlineStr">
        <is>
          <t>ZAR</t>
        </is>
      </c>
      <c r="K35" s="10" t="n">
        <v>21</v>
      </c>
      <c r="L35" s="12" t="n"/>
      <c r="M35" s="10" t="inlineStr">
        <is>
          <t>fx_gains_losses</t>
        </is>
      </c>
      <c r="N35" s="10" t="inlineStr"/>
    </row>
    <row r="36">
      <c r="A36" s="10" t="n">
        <v>32</v>
      </c>
      <c r="B36" s="10" t="inlineStr">
        <is>
          <t>income_statement</t>
        </is>
      </c>
      <c r="C36" s="10" t="inlineStr"/>
      <c r="D36" s="10" t="inlineStr">
        <is>
          <t>Exchange rate (losses)/gains</t>
        </is>
      </c>
      <c r="E36" s="10" t="inlineStr">
        <is>
          <t>FY2023</t>
        </is>
      </c>
      <c r="F36" s="10" t="inlineStr">
        <is>
          <t>restated</t>
        </is>
      </c>
      <c r="G36" s="11" t="n">
        <v>384</v>
      </c>
      <c r="H36" s="10" t="inlineStr">
        <is>
          <t>millions</t>
        </is>
      </c>
      <c r="I36" s="10" t="inlineStr">
        <is>
          <t>currency</t>
        </is>
      </c>
      <c r="J36" s="10" t="inlineStr">
        <is>
          <t>ZAR</t>
        </is>
      </c>
      <c r="K36" s="10" t="n">
        <v>21</v>
      </c>
      <c r="L36" s="12" t="n"/>
      <c r="M36" s="10" t="inlineStr">
        <is>
          <t>fx_gains_losses</t>
        </is>
      </c>
      <c r="N36" s="10" t="inlineStr">
        <is>
          <t>FY2023 comparative restated for the adoption of IFRS 17 Insurance Contracts (note 45) - a DIFFERENT restatement reason than FY2025's</t>
        </is>
      </c>
    </row>
    <row r="37">
      <c r="A37" s="10" t="n">
        <v>33</v>
      </c>
      <c r="B37" s="10" t="inlineStr">
        <is>
          <t>income_statement</t>
        </is>
      </c>
      <c r="C37" s="10" t="inlineStr"/>
      <c r="D37" s="10" t="inlineStr">
        <is>
          <t>Profit on lease modifications and terminations</t>
        </is>
      </c>
      <c r="E37" s="10" t="inlineStr">
        <is>
          <t>FY2024</t>
        </is>
      </c>
      <c r="F37" s="10" t="inlineStr">
        <is>
          <t>as_reported</t>
        </is>
      </c>
      <c r="G37" s="11" t="n">
        <v>101</v>
      </c>
      <c r="H37" s="10" t="inlineStr">
        <is>
          <t>millions</t>
        </is>
      </c>
      <c r="I37" s="10" t="inlineStr">
        <is>
          <t>currency</t>
        </is>
      </c>
      <c r="J37" s="10" t="inlineStr">
        <is>
          <t>ZAR</t>
        </is>
      </c>
      <c r="K37" s="10" t="n">
        <v>21</v>
      </c>
      <c r="L37" s="12" t="n"/>
      <c r="M37" s="10" t="inlineStr">
        <is>
          <t>lease_modification_profit</t>
        </is>
      </c>
      <c r="N37" s="10" t="inlineStr"/>
    </row>
    <row r="38">
      <c r="A38" s="10" t="n">
        <v>34</v>
      </c>
      <c r="B38" s="10" t="inlineStr">
        <is>
          <t>income_statement</t>
        </is>
      </c>
      <c r="C38" s="10" t="inlineStr"/>
      <c r="D38" s="10" t="inlineStr">
        <is>
          <t>Profit on lease modifications and terminations</t>
        </is>
      </c>
      <c r="E38" s="10" t="inlineStr">
        <is>
          <t>FY2023</t>
        </is>
      </c>
      <c r="F38" s="10" t="inlineStr">
        <is>
          <t>restated</t>
        </is>
      </c>
      <c r="G38" s="11" t="n">
        <v>60</v>
      </c>
      <c r="H38" s="10" t="inlineStr">
        <is>
          <t>millions</t>
        </is>
      </c>
      <c r="I38" s="10" t="inlineStr">
        <is>
          <t>currency</t>
        </is>
      </c>
      <c r="J38" s="10" t="inlineStr">
        <is>
          <t>ZAR</t>
        </is>
      </c>
      <c r="K38" s="10" t="n">
        <v>21</v>
      </c>
      <c r="L38" s="12" t="n"/>
      <c r="M38" s="10" t="inlineStr">
        <is>
          <t>lease_modification_profit</t>
        </is>
      </c>
      <c r="N38" s="10" t="inlineStr">
        <is>
          <t>FY2023 comparative restated for the adoption of IFRS 17 Insurance Contracts (note 45) - a DIFFERENT restatement reason than FY2025's</t>
        </is>
      </c>
    </row>
    <row r="39">
      <c r="A39" s="10" t="n">
        <v>35</v>
      </c>
      <c r="B39" s="10" t="inlineStr">
        <is>
          <t>income_statement</t>
        </is>
      </c>
      <c r="C39" s="10" t="inlineStr">
        <is>
          <t>31</t>
        </is>
      </c>
      <c r="D39" s="10" t="inlineStr">
        <is>
          <t>Items of a capital nature</t>
        </is>
      </c>
      <c r="E39" s="10" t="inlineStr">
        <is>
          <t>FY2024</t>
        </is>
      </c>
      <c r="F39" s="10" t="inlineStr">
        <is>
          <t>as_reported</t>
        </is>
      </c>
      <c r="G39" s="11" t="n">
        <v>-330</v>
      </c>
      <c r="H39" s="10" t="inlineStr">
        <is>
          <t>millions</t>
        </is>
      </c>
      <c r="I39" s="10" t="inlineStr">
        <is>
          <t>currency</t>
        </is>
      </c>
      <c r="J39" s="10" t="inlineStr">
        <is>
          <t>ZAR</t>
        </is>
      </c>
      <c r="K39" s="10" t="n">
        <v>21</v>
      </c>
      <c r="L39" s="12" t="n"/>
      <c r="M39" s="10" t="inlineStr">
        <is>
          <t>items_of_capital_nature</t>
        </is>
      </c>
      <c r="N39" s="10" t="inlineStr"/>
    </row>
    <row r="40">
      <c r="A40" s="10" t="n">
        <v>36</v>
      </c>
      <c r="B40" s="10" t="inlineStr">
        <is>
          <t>income_statement</t>
        </is>
      </c>
      <c r="C40" s="10" t="inlineStr">
        <is>
          <t>31</t>
        </is>
      </c>
      <c r="D40" s="10" t="inlineStr">
        <is>
          <t>Items of a capital nature</t>
        </is>
      </c>
      <c r="E40" s="10" t="inlineStr">
        <is>
          <t>FY2023</t>
        </is>
      </c>
      <c r="F40" s="10" t="inlineStr">
        <is>
          <t>restated</t>
        </is>
      </c>
      <c r="G40" s="11" t="n">
        <v>-16</v>
      </c>
      <c r="H40" s="10" t="inlineStr">
        <is>
          <t>millions</t>
        </is>
      </c>
      <c r="I40" s="10" t="inlineStr">
        <is>
          <t>currency</t>
        </is>
      </c>
      <c r="J40" s="10" t="inlineStr">
        <is>
          <t>ZAR</t>
        </is>
      </c>
      <c r="K40" s="10" t="n">
        <v>21</v>
      </c>
      <c r="L40" s="12" t="n"/>
      <c r="M40" s="10" t="inlineStr">
        <is>
          <t>items_of_capital_nature</t>
        </is>
      </c>
      <c r="N40" s="10" t="inlineStr">
        <is>
          <t>FY2023 comparative restated for the adoption of IFRS 17 Insurance Contracts (note 45) - a DIFFERENT restatement reason than FY2025's</t>
        </is>
      </c>
    </row>
    <row r="41">
      <c r="A41" s="10" t="n">
        <v>37</v>
      </c>
      <c r="B41" s="10" t="inlineStr">
        <is>
          <t>income_statement</t>
        </is>
      </c>
      <c r="C41" s="10" t="inlineStr">
        <is>
          <t>32</t>
        </is>
      </c>
      <c r="D41" s="10" t="inlineStr">
        <is>
          <t>Operating profit</t>
        </is>
      </c>
      <c r="E41" s="10" t="inlineStr">
        <is>
          <t>FY2024</t>
        </is>
      </c>
      <c r="F41" s="10" t="inlineStr">
        <is>
          <t>as_reported</t>
        </is>
      </c>
      <c r="G41" s="11" t="n">
        <v>13156</v>
      </c>
      <c r="H41" s="10" t="inlineStr">
        <is>
          <t>millions</t>
        </is>
      </c>
      <c r="I41" s="10" t="inlineStr">
        <is>
          <t>currency</t>
        </is>
      </c>
      <c r="J41" s="10" t="inlineStr">
        <is>
          <t>ZAR</t>
        </is>
      </c>
      <c r="K41" s="10" t="n">
        <v>21</v>
      </c>
      <c r="L41" s="12" t="n"/>
      <c r="M41" s="10" t="inlineStr">
        <is>
          <t>operating_profit</t>
        </is>
      </c>
      <c r="N41" s="10" t="inlineStr"/>
    </row>
    <row r="42">
      <c r="A42" s="10" t="n">
        <v>38</v>
      </c>
      <c r="B42" s="10" t="inlineStr">
        <is>
          <t>income_statement</t>
        </is>
      </c>
      <c r="C42" s="10" t="inlineStr">
        <is>
          <t>32</t>
        </is>
      </c>
      <c r="D42" s="10" t="inlineStr">
        <is>
          <t>Operating profit</t>
        </is>
      </c>
      <c r="E42" s="10" t="inlineStr">
        <is>
          <t>FY2023</t>
        </is>
      </c>
      <c r="F42" s="10" t="inlineStr">
        <is>
          <t>restated</t>
        </is>
      </c>
      <c r="G42" s="11" t="n">
        <v>12347</v>
      </c>
      <c r="H42" s="10" t="inlineStr">
        <is>
          <t>millions</t>
        </is>
      </c>
      <c r="I42" s="10" t="inlineStr">
        <is>
          <t>currency</t>
        </is>
      </c>
      <c r="J42" s="10" t="inlineStr">
        <is>
          <t>ZAR</t>
        </is>
      </c>
      <c r="K42" s="10" t="n">
        <v>21</v>
      </c>
      <c r="L42" s="12" t="n"/>
      <c r="M42" s="10" t="inlineStr">
        <is>
          <t>operating_profit</t>
        </is>
      </c>
      <c r="N42" s="10" t="inlineStr">
        <is>
          <t>FY2023 comparative restated for the adoption of IFRS 17 Insurance Contracts (note 45) - a DIFFERENT restatement reason than FY2025's</t>
        </is>
      </c>
    </row>
    <row r="43">
      <c r="A43" s="10" t="n">
        <v>39</v>
      </c>
      <c r="B43" s="10" t="inlineStr">
        <is>
          <t>income_statement</t>
        </is>
      </c>
      <c r="C43" s="10" t="inlineStr"/>
      <c r="D43" s="10" t="inlineStr">
        <is>
          <t>Interest received from bank account balances</t>
        </is>
      </c>
      <c r="E43" s="10" t="inlineStr">
        <is>
          <t>FY2024</t>
        </is>
      </c>
      <c r="F43" s="10" t="inlineStr">
        <is>
          <t>as_reported</t>
        </is>
      </c>
      <c r="G43" s="11" t="n">
        <v>529</v>
      </c>
      <c r="H43" s="10" t="inlineStr">
        <is>
          <t>millions</t>
        </is>
      </c>
      <c r="I43" s="10" t="inlineStr">
        <is>
          <t>currency</t>
        </is>
      </c>
      <c r="J43" s="10" t="inlineStr">
        <is>
          <t>ZAR</t>
        </is>
      </c>
      <c r="K43" s="10" t="n">
        <v>21</v>
      </c>
      <c r="L43" s="12" t="n"/>
      <c r="M43" s="10" t="inlineStr">
        <is>
          <t>interest_received_bank</t>
        </is>
      </c>
      <c r="N43" s="10" t="inlineStr"/>
    </row>
    <row r="44">
      <c r="A44" s="10" t="n">
        <v>40</v>
      </c>
      <c r="B44" s="10" t="inlineStr">
        <is>
          <t>income_statement</t>
        </is>
      </c>
      <c r="C44" s="10" t="inlineStr"/>
      <c r="D44" s="10" t="inlineStr">
        <is>
          <t>Interest received from bank account balances</t>
        </is>
      </c>
      <c r="E44" s="10" t="inlineStr">
        <is>
          <t>FY2023</t>
        </is>
      </c>
      <c r="F44" s="10" t="inlineStr">
        <is>
          <t>restated</t>
        </is>
      </c>
      <c r="G44" s="11" t="n">
        <v>453</v>
      </c>
      <c r="H44" s="10" t="inlineStr">
        <is>
          <t>millions</t>
        </is>
      </c>
      <c r="I44" s="10" t="inlineStr">
        <is>
          <t>currency</t>
        </is>
      </c>
      <c r="J44" s="10" t="inlineStr">
        <is>
          <t>ZAR</t>
        </is>
      </c>
      <c r="K44" s="10" t="n">
        <v>21</v>
      </c>
      <c r="L44" s="12" t="n"/>
      <c r="M44" s="10" t="inlineStr">
        <is>
          <t>interest_received_bank</t>
        </is>
      </c>
      <c r="N44" s="10" t="inlineStr">
        <is>
          <t>FY2023 comparative restated for the adoption of IFRS 17 Insurance Contracts (note 45) - a DIFFERENT restatement reason than FY2025's</t>
        </is>
      </c>
    </row>
    <row r="45">
      <c r="A45" s="10" t="n">
        <v>41</v>
      </c>
      <c r="B45" s="10" t="inlineStr">
        <is>
          <t>income_statement</t>
        </is>
      </c>
      <c r="C45" s="10" t="inlineStr">
        <is>
          <t>33</t>
        </is>
      </c>
      <c r="D45" s="10" t="inlineStr">
        <is>
          <t>Finance costs</t>
        </is>
      </c>
      <c r="E45" s="10" t="inlineStr">
        <is>
          <t>FY2024</t>
        </is>
      </c>
      <c r="F45" s="10" t="inlineStr">
        <is>
          <t>as_reported</t>
        </is>
      </c>
      <c r="G45" s="11" t="n">
        <v>-4306</v>
      </c>
      <c r="H45" s="10" t="inlineStr">
        <is>
          <t>millions</t>
        </is>
      </c>
      <c r="I45" s="10" t="inlineStr">
        <is>
          <t>currency</t>
        </is>
      </c>
      <c r="J45" s="10" t="inlineStr">
        <is>
          <t>ZAR</t>
        </is>
      </c>
      <c r="K45" s="10" t="n">
        <v>21</v>
      </c>
      <c r="L45" s="12" t="n"/>
      <c r="M45" s="10" t="inlineStr">
        <is>
          <t>finance_costs</t>
        </is>
      </c>
      <c r="N45" s="10" t="inlineStr"/>
    </row>
    <row r="46">
      <c r="A46" s="10" t="n">
        <v>42</v>
      </c>
      <c r="B46" s="10" t="inlineStr">
        <is>
          <t>income_statement</t>
        </is>
      </c>
      <c r="C46" s="10" t="inlineStr">
        <is>
          <t>33</t>
        </is>
      </c>
      <c r="D46" s="10" t="inlineStr">
        <is>
          <t>Finance costs</t>
        </is>
      </c>
      <c r="E46" s="10" t="inlineStr">
        <is>
          <t>FY2023</t>
        </is>
      </c>
      <c r="F46" s="10" t="inlineStr">
        <is>
          <t>restated</t>
        </is>
      </c>
      <c r="G46" s="11" t="n">
        <v>-3668</v>
      </c>
      <c r="H46" s="10" t="inlineStr">
        <is>
          <t>millions</t>
        </is>
      </c>
      <c r="I46" s="10" t="inlineStr">
        <is>
          <t>currency</t>
        </is>
      </c>
      <c r="J46" s="10" t="inlineStr">
        <is>
          <t>ZAR</t>
        </is>
      </c>
      <c r="K46" s="10" t="n">
        <v>21</v>
      </c>
      <c r="L46" s="12" t="n"/>
      <c r="M46" s="10" t="inlineStr">
        <is>
          <t>finance_costs</t>
        </is>
      </c>
      <c r="N46" s="10" t="inlineStr">
        <is>
          <t>FY2023 comparative restated for the adoption of IFRS 17 Insurance Contracts (note 45) - a DIFFERENT restatement reason than FY2025's</t>
        </is>
      </c>
    </row>
    <row r="47">
      <c r="A47" s="10" t="n">
        <v>43</v>
      </c>
      <c r="B47" s="10" t="inlineStr">
        <is>
          <t>income_statement</t>
        </is>
      </c>
      <c r="C47" s="10" t="inlineStr"/>
      <c r="D47" s="10" t="inlineStr">
        <is>
          <t>Profit before income tax</t>
        </is>
      </c>
      <c r="E47" s="10" t="inlineStr">
        <is>
          <t>FY2024</t>
        </is>
      </c>
      <c r="F47" s="10" t="inlineStr">
        <is>
          <t>as_reported</t>
        </is>
      </c>
      <c r="G47" s="11" t="n">
        <v>9379</v>
      </c>
      <c r="H47" s="10" t="inlineStr">
        <is>
          <t>millions</t>
        </is>
      </c>
      <c r="I47" s="10" t="inlineStr">
        <is>
          <t>currency</t>
        </is>
      </c>
      <c r="J47" s="10" t="inlineStr">
        <is>
          <t>ZAR</t>
        </is>
      </c>
      <c r="K47" s="10" t="n">
        <v>21</v>
      </c>
      <c r="L47" s="12" t="n"/>
      <c r="M47" s="10" t="inlineStr">
        <is>
          <t>profit_before_tax</t>
        </is>
      </c>
      <c r="N47" s="10" t="inlineStr"/>
    </row>
    <row r="48">
      <c r="A48" s="10" t="n">
        <v>44</v>
      </c>
      <c r="B48" s="10" t="inlineStr">
        <is>
          <t>income_statement</t>
        </is>
      </c>
      <c r="C48" s="10" t="inlineStr"/>
      <c r="D48" s="10" t="inlineStr">
        <is>
          <t>Profit before income tax</t>
        </is>
      </c>
      <c r="E48" s="10" t="inlineStr">
        <is>
          <t>FY2023</t>
        </is>
      </c>
      <c r="F48" s="10" t="inlineStr">
        <is>
          <t>restated</t>
        </is>
      </c>
      <c r="G48" s="11" t="n">
        <v>9132</v>
      </c>
      <c r="H48" s="10" t="inlineStr">
        <is>
          <t>millions</t>
        </is>
      </c>
      <c r="I48" s="10" t="inlineStr">
        <is>
          <t>currency</t>
        </is>
      </c>
      <c r="J48" s="10" t="inlineStr">
        <is>
          <t>ZAR</t>
        </is>
      </c>
      <c r="K48" s="10" t="n">
        <v>21</v>
      </c>
      <c r="L48" s="12" t="n"/>
      <c r="M48" s="10" t="inlineStr">
        <is>
          <t>profit_before_tax</t>
        </is>
      </c>
      <c r="N48" s="10" t="inlineStr">
        <is>
          <t>FY2023 comparative restated for the adoption of IFRS 17 Insurance Contracts (note 45) - a DIFFERENT restatement reason than FY2025's</t>
        </is>
      </c>
    </row>
    <row r="49">
      <c r="A49" s="10" t="n">
        <v>45</v>
      </c>
      <c r="B49" s="10" t="inlineStr">
        <is>
          <t>income_statement</t>
        </is>
      </c>
      <c r="C49" s="10" t="inlineStr">
        <is>
          <t>34</t>
        </is>
      </c>
      <c r="D49" s="10" t="inlineStr">
        <is>
          <t>Income tax expense</t>
        </is>
      </c>
      <c r="E49" s="10" t="inlineStr">
        <is>
          <t>FY2024</t>
        </is>
      </c>
      <c r="F49" s="10" t="inlineStr">
        <is>
          <t>as_reported</t>
        </is>
      </c>
      <c r="G49" s="11" t="n">
        <v>-2836</v>
      </c>
      <c r="H49" s="10" t="inlineStr">
        <is>
          <t>millions</t>
        </is>
      </c>
      <c r="I49" s="10" t="inlineStr">
        <is>
          <t>currency</t>
        </is>
      </c>
      <c r="J49" s="10" t="inlineStr">
        <is>
          <t>ZAR</t>
        </is>
      </c>
      <c r="K49" s="10" t="n">
        <v>21</v>
      </c>
      <c r="L49" s="12" t="n"/>
      <c r="M49" s="10" t="inlineStr">
        <is>
          <t>income_tax_expense</t>
        </is>
      </c>
      <c r="N49" s="10" t="inlineStr"/>
    </row>
    <row r="50">
      <c r="A50" s="10" t="n">
        <v>46</v>
      </c>
      <c r="B50" s="10" t="inlineStr">
        <is>
          <t>income_statement</t>
        </is>
      </c>
      <c r="C50" s="10" t="inlineStr">
        <is>
          <t>34</t>
        </is>
      </c>
      <c r="D50" s="10" t="inlineStr">
        <is>
          <t>Income tax expense</t>
        </is>
      </c>
      <c r="E50" s="10" t="inlineStr">
        <is>
          <t>FY2023</t>
        </is>
      </c>
      <c r="F50" s="10" t="inlineStr">
        <is>
          <t>restated</t>
        </is>
      </c>
      <c r="G50" s="11" t="n">
        <v>-2812</v>
      </c>
      <c r="H50" s="10" t="inlineStr">
        <is>
          <t>millions</t>
        </is>
      </c>
      <c r="I50" s="10" t="inlineStr">
        <is>
          <t>currency</t>
        </is>
      </c>
      <c r="J50" s="10" t="inlineStr">
        <is>
          <t>ZAR</t>
        </is>
      </c>
      <c r="K50" s="10" t="n">
        <v>21</v>
      </c>
      <c r="L50" s="12" t="n"/>
      <c r="M50" s="10" t="inlineStr">
        <is>
          <t>income_tax_expense</t>
        </is>
      </c>
      <c r="N50" s="10" t="inlineStr">
        <is>
          <t>FY2023 comparative restated for the adoption of IFRS 17 Insurance Contracts (note 45) - a DIFFERENT restatement reason than FY2025's</t>
        </is>
      </c>
    </row>
    <row r="51">
      <c r="A51" s="10" t="n">
        <v>47</v>
      </c>
      <c r="B51" s="10" t="inlineStr">
        <is>
          <t>income_statement</t>
        </is>
      </c>
      <c r="C51" s="10" t="inlineStr"/>
      <c r="D51" s="10" t="inlineStr">
        <is>
          <t>Profit from continuing operations</t>
        </is>
      </c>
      <c r="E51" s="10" t="inlineStr">
        <is>
          <t>FY2024</t>
        </is>
      </c>
      <c r="F51" s="10" t="inlineStr">
        <is>
          <t>as_reported</t>
        </is>
      </c>
      <c r="G51" s="11" t="n">
        <v>6543</v>
      </c>
      <c r="H51" s="10" t="inlineStr">
        <is>
          <t>millions</t>
        </is>
      </c>
      <c r="I51" s="10" t="inlineStr">
        <is>
          <t>currency</t>
        </is>
      </c>
      <c r="J51" s="10" t="inlineStr">
        <is>
          <t>ZAR</t>
        </is>
      </c>
      <c r="K51" s="10" t="n">
        <v>21</v>
      </c>
      <c r="L51" s="12" t="n"/>
      <c r="M51" s="10" t="inlineStr">
        <is>
          <t>profit_continuing_operations</t>
        </is>
      </c>
      <c r="N51" s="10" t="inlineStr"/>
    </row>
    <row r="52">
      <c r="A52" s="10" t="n">
        <v>48</v>
      </c>
      <c r="B52" s="10" t="inlineStr">
        <is>
          <t>income_statement</t>
        </is>
      </c>
      <c r="C52" s="10" t="inlineStr"/>
      <c r="D52" s="10" t="inlineStr">
        <is>
          <t>Profit from continuing operations</t>
        </is>
      </c>
      <c r="E52" s="10" t="inlineStr">
        <is>
          <t>FY2023</t>
        </is>
      </c>
      <c r="F52" s="10" t="inlineStr">
        <is>
          <t>restated</t>
        </is>
      </c>
      <c r="G52" s="11" t="n">
        <v>6320</v>
      </c>
      <c r="H52" s="10" t="inlineStr">
        <is>
          <t>millions</t>
        </is>
      </c>
      <c r="I52" s="10" t="inlineStr">
        <is>
          <t>currency</t>
        </is>
      </c>
      <c r="J52" s="10" t="inlineStr">
        <is>
          <t>ZAR</t>
        </is>
      </c>
      <c r="K52" s="10" t="n">
        <v>21</v>
      </c>
      <c r="L52" s="12" t="n"/>
      <c r="M52" s="10" t="inlineStr">
        <is>
          <t>profit_continuing_operations</t>
        </is>
      </c>
      <c r="N52" s="10" t="inlineStr">
        <is>
          <t>FY2023 comparative restated for the adoption of IFRS 17 Insurance Contracts (note 45) - a DIFFERENT restatement reason than FY2025's</t>
        </is>
      </c>
    </row>
    <row r="53">
      <c r="A53" s="10" t="n">
        <v>49</v>
      </c>
      <c r="B53" s="10" t="inlineStr">
        <is>
          <t>income_statement</t>
        </is>
      </c>
      <c r="C53" s="10" t="inlineStr">
        <is>
          <t>35</t>
        </is>
      </c>
      <c r="D53" s="10" t="inlineStr">
        <is>
          <t>Loss from discontinued operations (attributable to owners of the parent)</t>
        </is>
      </c>
      <c r="E53" s="10" t="inlineStr">
        <is>
          <t>FY2024</t>
        </is>
      </c>
      <c r="F53" s="10" t="inlineStr">
        <is>
          <t>as_reported</t>
        </is>
      </c>
      <c r="G53" s="11" t="n">
        <v>-322</v>
      </c>
      <c r="H53" s="10" t="inlineStr">
        <is>
          <t>millions</t>
        </is>
      </c>
      <c r="I53" s="10" t="inlineStr">
        <is>
          <t>currency</t>
        </is>
      </c>
      <c r="J53" s="10" t="inlineStr">
        <is>
          <t>ZAR</t>
        </is>
      </c>
      <c r="K53" s="10" t="n">
        <v>21</v>
      </c>
      <c r="L53" s="12" t="n"/>
      <c r="M53" s="10" t="inlineStr">
        <is>
          <t>profit_discontinued_operations</t>
        </is>
      </c>
      <c r="N53" s="10" t="inlineStr">
        <is>
          <t>LABEL CHANGED: 'Profit from discontinued operations' in FY2025</t>
        </is>
      </c>
    </row>
    <row r="54">
      <c r="A54" s="10" t="n">
        <v>50</v>
      </c>
      <c r="B54" s="10" t="inlineStr">
        <is>
          <t>income_statement</t>
        </is>
      </c>
      <c r="C54" s="10" t="inlineStr">
        <is>
          <t>35</t>
        </is>
      </c>
      <c r="D54" s="10" t="inlineStr">
        <is>
          <t>Loss from discontinued operations (attributable to owners of the parent)</t>
        </is>
      </c>
      <c r="E54" s="10" t="inlineStr">
        <is>
          <t>FY2023</t>
        </is>
      </c>
      <c r="F54" s="10" t="inlineStr">
        <is>
          <t>restated</t>
        </is>
      </c>
      <c r="G54" s="11" t="n">
        <v>-419</v>
      </c>
      <c r="H54" s="10" t="inlineStr">
        <is>
          <t>millions</t>
        </is>
      </c>
      <c r="I54" s="10" t="inlineStr">
        <is>
          <t>currency</t>
        </is>
      </c>
      <c r="J54" s="10" t="inlineStr">
        <is>
          <t>ZAR</t>
        </is>
      </c>
      <c r="K54" s="10" t="n">
        <v>21</v>
      </c>
      <c r="L54" s="12" t="n"/>
      <c r="M54" s="10" t="inlineStr">
        <is>
          <t>profit_discontinued_operations</t>
        </is>
      </c>
      <c r="N54" s="10" t="inlineStr">
        <is>
          <t>FY2023 comparative restated for the adoption of IFRS 17 Insurance Contracts (note 45) - a DIFFERENT restatement reason than FY2025's</t>
        </is>
      </c>
    </row>
    <row r="55">
      <c r="A55" s="10" t="n">
        <v>51</v>
      </c>
      <c r="B55" s="10" t="inlineStr">
        <is>
          <t>income_statement</t>
        </is>
      </c>
      <c r="C55" s="10" t="inlineStr"/>
      <c r="D55" s="10" t="inlineStr">
        <is>
          <t>Profit for the year</t>
        </is>
      </c>
      <c r="E55" s="10" t="inlineStr">
        <is>
          <t>FY2024</t>
        </is>
      </c>
      <c r="F55" s="10" t="inlineStr">
        <is>
          <t>as_reported</t>
        </is>
      </c>
      <c r="G55" s="11" t="n">
        <v>6221</v>
      </c>
      <c r="H55" s="10" t="inlineStr">
        <is>
          <t>millions</t>
        </is>
      </c>
      <c r="I55" s="10" t="inlineStr">
        <is>
          <t>currency</t>
        </is>
      </c>
      <c r="J55" s="10" t="inlineStr">
        <is>
          <t>ZAR</t>
        </is>
      </c>
      <c r="K55" s="10" t="n">
        <v>21</v>
      </c>
      <c r="L55" s="12" t="n"/>
      <c r="M55" s="10" t="inlineStr">
        <is>
          <t>profit_for_period</t>
        </is>
      </c>
      <c r="N55" s="10" t="inlineStr">
        <is>
          <t>UNCHANGED by the FY2025 restatement - reclassification only</t>
        </is>
      </c>
    </row>
    <row r="56">
      <c r="A56" s="10" t="n">
        <v>52</v>
      </c>
      <c r="B56" s="10" t="inlineStr">
        <is>
          <t>income_statement</t>
        </is>
      </c>
      <c r="C56" s="10" t="inlineStr"/>
      <c r="D56" s="10" t="inlineStr">
        <is>
          <t>Profit for the year</t>
        </is>
      </c>
      <c r="E56" s="10" t="inlineStr">
        <is>
          <t>FY2023</t>
        </is>
      </c>
      <c r="F56" s="10" t="inlineStr">
        <is>
          <t>restated</t>
        </is>
      </c>
      <c r="G56" s="11" t="n">
        <v>5901</v>
      </c>
      <c r="H56" s="10" t="inlineStr">
        <is>
          <t>millions</t>
        </is>
      </c>
      <c r="I56" s="10" t="inlineStr">
        <is>
          <t>currency</t>
        </is>
      </c>
      <c r="J56" s="10" t="inlineStr">
        <is>
          <t>ZAR</t>
        </is>
      </c>
      <c r="K56" s="10" t="n">
        <v>21</v>
      </c>
      <c r="L56" s="12" t="n"/>
      <c r="M56" s="10" t="inlineStr">
        <is>
          <t>profit_for_period</t>
        </is>
      </c>
      <c r="N56" s="10" t="inlineStr">
        <is>
          <t>FY2023 comparative restated for the adoption of IFRS 17 Insurance Contracts (note 45) - a DIFFERENT restatement reason than FY2025's</t>
        </is>
      </c>
    </row>
    <row r="57">
      <c r="A57" s="10" t="n">
        <v>53</v>
      </c>
      <c r="B57" s="10" t="inlineStr">
        <is>
          <t>income_statement</t>
        </is>
      </c>
      <c r="C57" s="10" t="inlineStr"/>
      <c r="D57" s="10" t="inlineStr">
        <is>
          <t>Other comprehensive (loss)/income, net of income tax</t>
        </is>
      </c>
      <c r="E57" s="10" t="inlineStr">
        <is>
          <t>FY2024</t>
        </is>
      </c>
      <c r="F57" s="10" t="inlineStr">
        <is>
          <t>as_reported</t>
        </is>
      </c>
      <c r="G57" s="11" t="n">
        <v>-871</v>
      </c>
      <c r="H57" s="10" t="inlineStr">
        <is>
          <t>millions</t>
        </is>
      </c>
      <c r="I57" s="10" t="inlineStr">
        <is>
          <t>currency</t>
        </is>
      </c>
      <c r="J57" s="10" t="inlineStr">
        <is>
          <t>ZAR</t>
        </is>
      </c>
      <c r="K57" s="10" t="n">
        <v>21</v>
      </c>
      <c r="L57" s="12" t="n"/>
      <c r="M57" s="10" t="inlineStr">
        <is>
          <t>other_comprehensive_income</t>
        </is>
      </c>
      <c r="N57" s="10" t="inlineStr"/>
    </row>
    <row r="58">
      <c r="A58" s="10" t="n">
        <v>54</v>
      </c>
      <c r="B58" s="10" t="inlineStr">
        <is>
          <t>income_statement</t>
        </is>
      </c>
      <c r="C58" s="10" t="inlineStr"/>
      <c r="D58" s="10" t="inlineStr">
        <is>
          <t>Other comprehensive (loss)/income, net of income tax</t>
        </is>
      </c>
      <c r="E58" s="10" t="inlineStr">
        <is>
          <t>FY2023</t>
        </is>
      </c>
      <c r="F58" s="10" t="inlineStr">
        <is>
          <t>restated</t>
        </is>
      </c>
      <c r="G58" s="11" t="n">
        <v>-1847</v>
      </c>
      <c r="H58" s="10" t="inlineStr">
        <is>
          <t>millions</t>
        </is>
      </c>
      <c r="I58" s="10" t="inlineStr">
        <is>
          <t>currency</t>
        </is>
      </c>
      <c r="J58" s="10" t="inlineStr">
        <is>
          <t>ZAR</t>
        </is>
      </c>
      <c r="K58" s="10" t="n">
        <v>21</v>
      </c>
      <c r="L58" s="12" t="n"/>
      <c r="M58" s="10" t="inlineStr">
        <is>
          <t>other_comprehensive_income</t>
        </is>
      </c>
      <c r="N58" s="10" t="inlineStr">
        <is>
          <t>FY2023 comparative restated for the adoption of IFRS 17 Insurance Contracts (note 45) - a DIFFERENT restatement reason than FY2025's</t>
        </is>
      </c>
    </row>
    <row r="59">
      <c r="A59" s="10" t="n">
        <v>55</v>
      </c>
      <c r="B59" s="10" t="inlineStr">
        <is>
          <t>income_statement</t>
        </is>
      </c>
      <c r="C59" s="10" t="inlineStr"/>
      <c r="D59" s="10" t="inlineStr">
        <is>
          <t>Total comprehensive income for the year</t>
        </is>
      </c>
      <c r="E59" s="10" t="inlineStr">
        <is>
          <t>FY2024</t>
        </is>
      </c>
      <c r="F59" s="10" t="inlineStr">
        <is>
          <t>as_reported</t>
        </is>
      </c>
      <c r="G59" s="11" t="n">
        <v>5350</v>
      </c>
      <c r="H59" s="10" t="inlineStr">
        <is>
          <t>millions</t>
        </is>
      </c>
      <c r="I59" s="10" t="inlineStr">
        <is>
          <t>currency</t>
        </is>
      </c>
      <c r="J59" s="10" t="inlineStr">
        <is>
          <t>ZAR</t>
        </is>
      </c>
      <c r="K59" s="10" t="n">
        <v>21</v>
      </c>
      <c r="L59" s="12" t="n"/>
      <c r="M59" s="10" t="inlineStr">
        <is>
          <t>total_comprehensive_income</t>
        </is>
      </c>
      <c r="N59" s="10" t="inlineStr"/>
    </row>
    <row r="60">
      <c r="A60" s="10" t="n">
        <v>56</v>
      </c>
      <c r="B60" s="10" t="inlineStr">
        <is>
          <t>income_statement</t>
        </is>
      </c>
      <c r="C60" s="10" t="inlineStr"/>
      <c r="D60" s="10" t="inlineStr">
        <is>
          <t>Total comprehensive income for the year</t>
        </is>
      </c>
      <c r="E60" s="10" t="inlineStr">
        <is>
          <t>FY2023</t>
        </is>
      </c>
      <c r="F60" s="10" t="inlineStr">
        <is>
          <t>restated</t>
        </is>
      </c>
      <c r="G60" s="11" t="n">
        <v>4054</v>
      </c>
      <c r="H60" s="10" t="inlineStr">
        <is>
          <t>millions</t>
        </is>
      </c>
      <c r="I60" s="10" t="inlineStr">
        <is>
          <t>currency</t>
        </is>
      </c>
      <c r="J60" s="10" t="inlineStr">
        <is>
          <t>ZAR</t>
        </is>
      </c>
      <c r="K60" s="10" t="n">
        <v>21</v>
      </c>
      <c r="L60" s="12" t="n"/>
      <c r="M60" s="10" t="inlineStr">
        <is>
          <t>total_comprehensive_income</t>
        </is>
      </c>
      <c r="N60" s="10" t="inlineStr">
        <is>
          <t>FY2023 comparative restated for the adoption of IFRS 17 Insurance Contracts (note 45) - a DIFFERENT restatement reason than FY2025's</t>
        </is>
      </c>
    </row>
    <row r="61">
      <c r="A61" s="10" t="n">
        <v>57</v>
      </c>
      <c r="B61" s="10" t="inlineStr">
        <is>
          <t>income_statement</t>
        </is>
      </c>
      <c r="C61" s="10" t="inlineStr"/>
      <c r="D61" s="10" t="inlineStr">
        <is>
          <t>Profit/(loss) attributable to: owners of the parent</t>
        </is>
      </c>
      <c r="E61" s="10" t="inlineStr">
        <is>
          <t>FY2024</t>
        </is>
      </c>
      <c r="F61" s="10" t="inlineStr">
        <is>
          <t>as_reported</t>
        </is>
      </c>
      <c r="G61" s="11" t="n">
        <v>6248</v>
      </c>
      <c r="H61" s="10" t="inlineStr">
        <is>
          <t>millions</t>
        </is>
      </c>
      <c r="I61" s="10" t="inlineStr">
        <is>
          <t>currency</t>
        </is>
      </c>
      <c r="J61" s="10" t="inlineStr">
        <is>
          <t>ZAR</t>
        </is>
      </c>
      <c r="K61" s="10" t="n">
        <v>21</v>
      </c>
      <c r="L61" s="12" t="n"/>
      <c r="M61" s="10" t="inlineStr">
        <is>
          <t>profit_attributable_owners</t>
        </is>
      </c>
      <c r="N61" s="10" t="inlineStr"/>
    </row>
    <row r="62">
      <c r="A62" s="10" t="n">
        <v>58</v>
      </c>
      <c r="B62" s="10" t="inlineStr">
        <is>
          <t>income_statement</t>
        </is>
      </c>
      <c r="C62" s="10" t="inlineStr"/>
      <c r="D62" s="10" t="inlineStr">
        <is>
          <t>Profit/(loss) attributable to: owners of the parent</t>
        </is>
      </c>
      <c r="E62" s="10" t="inlineStr">
        <is>
          <t>FY2023</t>
        </is>
      </c>
      <c r="F62" s="10" t="inlineStr">
        <is>
          <t>restated</t>
        </is>
      </c>
      <c r="G62" s="11" t="n">
        <v>5886</v>
      </c>
      <c r="H62" s="10" t="inlineStr">
        <is>
          <t>millions</t>
        </is>
      </c>
      <c r="I62" s="10" t="inlineStr">
        <is>
          <t>currency</t>
        </is>
      </c>
      <c r="J62" s="10" t="inlineStr">
        <is>
          <t>ZAR</t>
        </is>
      </c>
      <c r="K62" s="10" t="n">
        <v>21</v>
      </c>
      <c r="L62" s="12" t="n"/>
      <c r="M62" s="10" t="inlineStr">
        <is>
          <t>profit_attributable_owners</t>
        </is>
      </c>
      <c r="N62" s="10" t="inlineStr">
        <is>
          <t>FY2023 comparative restated for the adoption of IFRS 17 Insurance Contracts (note 45) - a DIFFERENT restatement reason than FY2025's</t>
        </is>
      </c>
    </row>
    <row r="63">
      <c r="A63" s="10" t="n">
        <v>59</v>
      </c>
      <c r="B63" s="10" t="inlineStr">
        <is>
          <t>income_statement</t>
        </is>
      </c>
      <c r="C63" s="10" t="inlineStr"/>
      <c r="D63" s="10" t="inlineStr">
        <is>
          <t>Profit/(loss) attributable to: non-controlling interest</t>
        </is>
      </c>
      <c r="E63" s="10" t="inlineStr">
        <is>
          <t>FY2024</t>
        </is>
      </c>
      <c r="F63" s="10" t="inlineStr">
        <is>
          <t>as_reported</t>
        </is>
      </c>
      <c r="G63" s="11" t="n">
        <v>-27</v>
      </c>
      <c r="H63" s="10" t="inlineStr">
        <is>
          <t>millions</t>
        </is>
      </c>
      <c r="I63" s="10" t="inlineStr">
        <is>
          <t>currency</t>
        </is>
      </c>
      <c r="J63" s="10" t="inlineStr">
        <is>
          <t>ZAR</t>
        </is>
      </c>
      <c r="K63" s="10" t="n">
        <v>21</v>
      </c>
      <c r="L63" s="12" t="n"/>
      <c r="M63" s="10" t="inlineStr">
        <is>
          <t>profit_attributable_nci</t>
        </is>
      </c>
      <c r="N63" s="10" t="inlineStr"/>
    </row>
    <row r="64">
      <c r="A64" s="10" t="n">
        <v>60</v>
      </c>
      <c r="B64" s="10" t="inlineStr">
        <is>
          <t>income_statement</t>
        </is>
      </c>
      <c r="C64" s="10" t="inlineStr"/>
      <c r="D64" s="10" t="inlineStr">
        <is>
          <t>Profit/(loss) attributable to: non-controlling interest</t>
        </is>
      </c>
      <c r="E64" s="10" t="inlineStr">
        <is>
          <t>FY2023</t>
        </is>
      </c>
      <c r="F64" s="10" t="inlineStr">
        <is>
          <t>restated</t>
        </is>
      </c>
      <c r="G64" s="11" t="n">
        <v>15</v>
      </c>
      <c r="H64" s="10" t="inlineStr">
        <is>
          <t>millions</t>
        </is>
      </c>
      <c r="I64" s="10" t="inlineStr">
        <is>
          <t>currency</t>
        </is>
      </c>
      <c r="J64" s="10" t="inlineStr">
        <is>
          <t>ZAR</t>
        </is>
      </c>
      <c r="K64" s="10" t="n">
        <v>21</v>
      </c>
      <c r="L64" s="12" t="n"/>
      <c r="M64" s="10" t="inlineStr">
        <is>
          <t>profit_attributable_nci</t>
        </is>
      </c>
      <c r="N64" s="10" t="inlineStr">
        <is>
          <t>FY2023 comparative restated for the adoption of IFRS 17 Insurance Contracts (note 45) - a DIFFERENT restatement reason than FY2025's</t>
        </is>
      </c>
    </row>
    <row r="65">
      <c r="A65" s="10" t="n">
        <v>61</v>
      </c>
      <c r="B65" s="10" t="inlineStr">
        <is>
          <t>income_statement</t>
        </is>
      </c>
      <c r="C65" s="10" t="inlineStr"/>
      <c r="D65" s="10" t="inlineStr">
        <is>
          <t>Total comprehensive income attributable to: owners of the parent</t>
        </is>
      </c>
      <c r="E65" s="10" t="inlineStr">
        <is>
          <t>FY2024</t>
        </is>
      </c>
      <c r="F65" s="10" t="inlineStr">
        <is>
          <t>as_reported</t>
        </is>
      </c>
      <c r="G65" s="11" t="n">
        <v>5382</v>
      </c>
      <c r="H65" s="10" t="inlineStr">
        <is>
          <t>millions</t>
        </is>
      </c>
      <c r="I65" s="10" t="inlineStr">
        <is>
          <t>currency</t>
        </is>
      </c>
      <c r="J65" s="10" t="inlineStr">
        <is>
          <t>ZAR</t>
        </is>
      </c>
      <c r="K65" s="10" t="n">
        <v>21</v>
      </c>
      <c r="L65" s="12" t="n"/>
      <c r="M65" s="10" t="inlineStr">
        <is>
          <t>tci_attributable_owners</t>
        </is>
      </c>
      <c r="N65" s="10" t="inlineStr"/>
    </row>
    <row r="66">
      <c r="A66" s="10" t="n">
        <v>62</v>
      </c>
      <c r="B66" s="10" t="inlineStr">
        <is>
          <t>income_statement</t>
        </is>
      </c>
      <c r="C66" s="10" t="inlineStr"/>
      <c r="D66" s="10" t="inlineStr">
        <is>
          <t>Total comprehensive income attributable to: owners of the parent</t>
        </is>
      </c>
      <c r="E66" s="10" t="inlineStr">
        <is>
          <t>FY2023</t>
        </is>
      </c>
      <c r="F66" s="10" t="inlineStr">
        <is>
          <t>restated</t>
        </is>
      </c>
      <c r="G66" s="11" t="n">
        <v>4039</v>
      </c>
      <c r="H66" s="10" t="inlineStr">
        <is>
          <t>millions</t>
        </is>
      </c>
      <c r="I66" s="10" t="inlineStr">
        <is>
          <t>currency</t>
        </is>
      </c>
      <c r="J66" s="10" t="inlineStr">
        <is>
          <t>ZAR</t>
        </is>
      </c>
      <c r="K66" s="10" t="n">
        <v>21</v>
      </c>
      <c r="L66" s="12" t="n"/>
      <c r="M66" s="10" t="inlineStr">
        <is>
          <t>tci_attributable_owners</t>
        </is>
      </c>
      <c r="N66" s="10" t="inlineStr">
        <is>
          <t>FY2023 comparative restated for the adoption of IFRS 17 Insurance Contracts (note 45) - a DIFFERENT restatement reason than FY2025's</t>
        </is>
      </c>
    </row>
    <row r="67">
      <c r="A67" s="10" t="n">
        <v>63</v>
      </c>
      <c r="B67" s="10" t="inlineStr">
        <is>
          <t>income_statement</t>
        </is>
      </c>
      <c r="C67" s="10" t="inlineStr"/>
      <c r="D67" s="10" t="inlineStr">
        <is>
          <t>Total comprehensive income attributable to: non-controlling interest</t>
        </is>
      </c>
      <c r="E67" s="10" t="inlineStr">
        <is>
          <t>FY2024</t>
        </is>
      </c>
      <c r="F67" s="10" t="inlineStr">
        <is>
          <t>as_reported</t>
        </is>
      </c>
      <c r="G67" s="11" t="n">
        <v>-32</v>
      </c>
      <c r="H67" s="10" t="inlineStr">
        <is>
          <t>millions</t>
        </is>
      </c>
      <c r="I67" s="10" t="inlineStr">
        <is>
          <t>currency</t>
        </is>
      </c>
      <c r="J67" s="10" t="inlineStr">
        <is>
          <t>ZAR</t>
        </is>
      </c>
      <c r="K67" s="10" t="n">
        <v>21</v>
      </c>
      <c r="L67" s="12" t="n"/>
      <c r="M67" s="10" t="inlineStr">
        <is>
          <t>tci_attributable_nci</t>
        </is>
      </c>
      <c r="N67" s="10" t="inlineStr"/>
    </row>
    <row r="68">
      <c r="A68" s="10" t="n">
        <v>64</v>
      </c>
      <c r="B68" s="10" t="inlineStr">
        <is>
          <t>income_statement</t>
        </is>
      </c>
      <c r="C68" s="10" t="inlineStr"/>
      <c r="D68" s="10" t="inlineStr">
        <is>
          <t>Total comprehensive income attributable to: non-controlling interest</t>
        </is>
      </c>
      <c r="E68" s="10" t="inlineStr">
        <is>
          <t>FY2023</t>
        </is>
      </c>
      <c r="F68" s="10" t="inlineStr">
        <is>
          <t>restated</t>
        </is>
      </c>
      <c r="G68" s="11" t="n">
        <v>15</v>
      </c>
      <c r="H68" s="10" t="inlineStr">
        <is>
          <t>millions</t>
        </is>
      </c>
      <c r="I68" s="10" t="inlineStr">
        <is>
          <t>currency</t>
        </is>
      </c>
      <c r="J68" s="10" t="inlineStr">
        <is>
          <t>ZAR</t>
        </is>
      </c>
      <c r="K68" s="10" t="n">
        <v>21</v>
      </c>
      <c r="L68" s="12" t="n"/>
      <c r="M68" s="10" t="inlineStr">
        <is>
          <t>tci_attributable_nci</t>
        </is>
      </c>
      <c r="N68" s="10" t="inlineStr">
        <is>
          <t>FY2023 comparative restated for the adoption of IFRS 17 Insurance Contracts (note 45) - a DIFFERENT restatement reason than FY2025's</t>
        </is>
      </c>
    </row>
    <row r="69">
      <c r="A69" s="10" t="n">
        <v>65</v>
      </c>
      <c r="B69" s="10" t="inlineStr">
        <is>
          <t>income_statement</t>
        </is>
      </c>
      <c r="C69" s="10" t="inlineStr"/>
      <c r="D69" s="10" t="inlineStr">
        <is>
          <t>TCI to owners arises from: continuing operations</t>
        </is>
      </c>
      <c r="E69" s="10" t="inlineStr">
        <is>
          <t>FY2024</t>
        </is>
      </c>
      <c r="F69" s="10" t="inlineStr">
        <is>
          <t>as_reported</t>
        </is>
      </c>
      <c r="G69" s="11" t="n">
        <v>5703</v>
      </c>
      <c r="H69" s="10" t="inlineStr">
        <is>
          <t>millions</t>
        </is>
      </c>
      <c r="I69" s="10" t="inlineStr">
        <is>
          <t>currency</t>
        </is>
      </c>
      <c r="J69" s="10" t="inlineStr">
        <is>
          <t>ZAR</t>
        </is>
      </c>
      <c r="K69" s="10" t="n">
        <v>21</v>
      </c>
      <c r="L69" s="12" t="n"/>
      <c r="M69" s="10" t="inlineStr">
        <is>
          <t>tci_continuing</t>
        </is>
      </c>
      <c r="N69" s="10" t="inlineStr"/>
    </row>
    <row r="70">
      <c r="A70" s="10" t="n">
        <v>66</v>
      </c>
      <c r="B70" s="10" t="inlineStr">
        <is>
          <t>income_statement</t>
        </is>
      </c>
      <c r="C70" s="10" t="inlineStr"/>
      <c r="D70" s="10" t="inlineStr">
        <is>
          <t>TCI to owners arises from: continuing operations</t>
        </is>
      </c>
      <c r="E70" s="10" t="inlineStr">
        <is>
          <t>FY2023</t>
        </is>
      </c>
      <c r="F70" s="10" t="inlineStr">
        <is>
          <t>restated</t>
        </is>
      </c>
      <c r="G70" s="11" t="n">
        <v>4467</v>
      </c>
      <c r="H70" s="10" t="inlineStr">
        <is>
          <t>millions</t>
        </is>
      </c>
      <c r="I70" s="10" t="inlineStr">
        <is>
          <t>currency</t>
        </is>
      </c>
      <c r="J70" s="10" t="inlineStr">
        <is>
          <t>ZAR</t>
        </is>
      </c>
      <c r="K70" s="10" t="n">
        <v>21</v>
      </c>
      <c r="L70" s="12" t="n"/>
      <c r="M70" s="10" t="inlineStr">
        <is>
          <t>tci_continuing</t>
        </is>
      </c>
      <c r="N70" s="10" t="inlineStr">
        <is>
          <t>FY2023 comparative restated for the adoption of IFRS 17 Insurance Contracts (note 45) - a DIFFERENT restatement reason than FY2025's</t>
        </is>
      </c>
    </row>
    <row r="71">
      <c r="A71" s="10" t="n">
        <v>67</v>
      </c>
      <c r="B71" s="10" t="inlineStr">
        <is>
          <t>income_statement</t>
        </is>
      </c>
      <c r="C71" s="10" t="inlineStr"/>
      <c r="D71" s="10" t="inlineStr">
        <is>
          <t>TCI to owners arises from: discontinued operations</t>
        </is>
      </c>
      <c r="E71" s="10" t="inlineStr">
        <is>
          <t>FY2024</t>
        </is>
      </c>
      <c r="F71" s="10" t="inlineStr">
        <is>
          <t>as_reported</t>
        </is>
      </c>
      <c r="G71" s="11" t="n">
        <v>-321</v>
      </c>
      <c r="H71" s="10" t="inlineStr">
        <is>
          <t>millions</t>
        </is>
      </c>
      <c r="I71" s="10" t="inlineStr">
        <is>
          <t>currency</t>
        </is>
      </c>
      <c r="J71" s="10" t="inlineStr">
        <is>
          <t>ZAR</t>
        </is>
      </c>
      <c r="K71" s="10" t="n">
        <v>21</v>
      </c>
      <c r="L71" s="12" t="n"/>
      <c r="M71" s="10" t="inlineStr">
        <is>
          <t>tci_discontinued</t>
        </is>
      </c>
      <c r="N71" s="10" t="inlineStr"/>
    </row>
    <row r="72">
      <c r="A72" s="10" t="n">
        <v>68</v>
      </c>
      <c r="B72" s="10" t="inlineStr">
        <is>
          <t>income_statement</t>
        </is>
      </c>
      <c r="C72" s="10" t="inlineStr"/>
      <c r="D72" s="10" t="inlineStr">
        <is>
          <t>TCI to owners arises from: discontinued operations</t>
        </is>
      </c>
      <c r="E72" s="10" t="inlineStr">
        <is>
          <t>FY2023</t>
        </is>
      </c>
      <c r="F72" s="10" t="inlineStr">
        <is>
          <t>restated</t>
        </is>
      </c>
      <c r="G72" s="11" t="n">
        <v>-428</v>
      </c>
      <c r="H72" s="10" t="inlineStr">
        <is>
          <t>millions</t>
        </is>
      </c>
      <c r="I72" s="10" t="inlineStr">
        <is>
          <t>currency</t>
        </is>
      </c>
      <c r="J72" s="10" t="inlineStr">
        <is>
          <t>ZAR</t>
        </is>
      </c>
      <c r="K72" s="10" t="n">
        <v>21</v>
      </c>
      <c r="L72" s="12" t="n"/>
      <c r="M72" s="10" t="inlineStr">
        <is>
          <t>tci_discontinued</t>
        </is>
      </c>
      <c r="N72" s="10" t="inlineStr">
        <is>
          <t>FY2023 comparative restated for the adoption of IFRS 17 Insurance Contracts (note 45) - a DIFFERENT restatement reason than FY2025's</t>
        </is>
      </c>
    </row>
    <row r="73">
      <c r="A73" s="10" t="n">
        <v>69</v>
      </c>
      <c r="B73" s="10" t="inlineStr">
        <is>
          <t>income_statement</t>
        </is>
      </c>
      <c r="C73" s="10" t="inlineStr">
        <is>
          <t>36</t>
        </is>
      </c>
      <c r="D73" s="10" t="inlineStr">
        <is>
          <t>Basic earnings per share from continuing operations (cents)</t>
        </is>
      </c>
      <c r="E73" s="10" t="inlineStr">
        <is>
          <t>FY2024</t>
        </is>
      </c>
      <c r="F73" s="10" t="inlineStr">
        <is>
          <t>as_reported</t>
        </is>
      </c>
      <c r="G73" s="11" t="n">
        <v>1207.7</v>
      </c>
      <c r="H73" s="10" t="inlineStr">
        <is>
          <t>units</t>
        </is>
      </c>
      <c r="I73" s="10" t="inlineStr">
        <is>
          <t>cents_per_share</t>
        </is>
      </c>
      <c r="J73" s="10" t="inlineStr">
        <is>
          <t>ZAR</t>
        </is>
      </c>
      <c r="K73" s="10" t="n">
        <v>91</v>
      </c>
      <c r="L73" s="12" t="n"/>
      <c r="M73" s="10" t="inlineStr">
        <is>
          <t>eps_basic_continuing</t>
        </is>
      </c>
      <c r="N73" s="10" t="inlineStr"/>
    </row>
    <row r="74">
      <c r="A74" s="10" t="n">
        <v>70</v>
      </c>
      <c r="B74" s="10" t="inlineStr">
        <is>
          <t>income_statement</t>
        </is>
      </c>
      <c r="C74" s="10" t="inlineStr">
        <is>
          <t>36</t>
        </is>
      </c>
      <c r="D74" s="10" t="inlineStr">
        <is>
          <t>Basic earnings per share from continuing operations (cents)</t>
        </is>
      </c>
      <c r="E74" s="10" t="inlineStr">
        <is>
          <t>FY2023</t>
        </is>
      </c>
      <c r="F74" s="10" t="inlineStr">
        <is>
          <t>restated</t>
        </is>
      </c>
      <c r="G74" s="11" t="n">
        <v>1161.4</v>
      </c>
      <c r="H74" s="10" t="inlineStr">
        <is>
          <t>units</t>
        </is>
      </c>
      <c r="I74" s="10" t="inlineStr">
        <is>
          <t>cents_per_share</t>
        </is>
      </c>
      <c r="J74" s="10" t="inlineStr">
        <is>
          <t>ZAR</t>
        </is>
      </c>
      <c r="K74" s="10" t="n">
        <v>91</v>
      </c>
      <c r="L74" s="12" t="n"/>
      <c r="M74" s="10" t="inlineStr">
        <is>
          <t>eps_basic_continuing</t>
        </is>
      </c>
      <c r="N74" s="10" t="inlineStr"/>
    </row>
    <row r="75">
      <c r="A75" s="10" t="n">
        <v>71</v>
      </c>
      <c r="B75" s="10" t="inlineStr">
        <is>
          <t>income_statement</t>
        </is>
      </c>
      <c r="C75" s="10" t="inlineStr">
        <is>
          <t>36</t>
        </is>
      </c>
      <c r="D75" s="10" t="inlineStr">
        <is>
          <t>Basic earnings per share (cents)</t>
        </is>
      </c>
      <c r="E75" s="10" t="inlineStr">
        <is>
          <t>FY2024</t>
        </is>
      </c>
      <c r="F75" s="10" t="inlineStr">
        <is>
          <t>as_reported</t>
        </is>
      </c>
      <c r="G75" s="11" t="n">
        <v>1148.6</v>
      </c>
      <c r="H75" s="10" t="inlineStr">
        <is>
          <t>units</t>
        </is>
      </c>
      <c r="I75" s="10" t="inlineStr">
        <is>
          <t>cents_per_share</t>
        </is>
      </c>
      <c r="J75" s="10" t="inlineStr">
        <is>
          <t>ZAR</t>
        </is>
      </c>
      <c r="K75" s="10" t="n">
        <v>91</v>
      </c>
      <c r="L75" s="12" t="n"/>
      <c r="M75" s="10" t="inlineStr">
        <is>
          <t>eps_basic</t>
        </is>
      </c>
      <c r="N75" s="10" t="inlineStr"/>
    </row>
    <row r="76">
      <c r="A76" s="10" t="n">
        <v>72</v>
      </c>
      <c r="B76" s="10" t="inlineStr">
        <is>
          <t>income_statement</t>
        </is>
      </c>
      <c r="C76" s="10" t="inlineStr">
        <is>
          <t>36</t>
        </is>
      </c>
      <c r="D76" s="10" t="inlineStr">
        <is>
          <t>Basic earnings per share (cents)</t>
        </is>
      </c>
      <c r="E76" s="10" t="inlineStr">
        <is>
          <t>FY2023</t>
        </is>
      </c>
      <c r="F76" s="10" t="inlineStr">
        <is>
          <t>restated</t>
        </is>
      </c>
      <c r="G76" s="11" t="n">
        <v>1084.3</v>
      </c>
      <c r="H76" s="10" t="inlineStr">
        <is>
          <t>units</t>
        </is>
      </c>
      <c r="I76" s="10" t="inlineStr">
        <is>
          <t>cents_per_share</t>
        </is>
      </c>
      <c r="J76" s="10" t="inlineStr">
        <is>
          <t>ZAR</t>
        </is>
      </c>
      <c r="K76" s="10" t="n">
        <v>91</v>
      </c>
      <c r="L76" s="12" t="n"/>
      <c r="M76" s="10" t="inlineStr">
        <is>
          <t>eps_basic</t>
        </is>
      </c>
      <c r="N76" s="10" t="inlineStr"/>
    </row>
    <row r="77">
      <c r="A77" s="10" t="n">
        <v>73</v>
      </c>
      <c r="B77" s="10" t="inlineStr">
        <is>
          <t>income_statement</t>
        </is>
      </c>
      <c r="C77" s="10" t="inlineStr">
        <is>
          <t>36</t>
        </is>
      </c>
      <c r="D77" s="10" t="inlineStr">
        <is>
          <t>Diluted earnings per share (cents)</t>
        </is>
      </c>
      <c r="E77" s="10" t="inlineStr">
        <is>
          <t>FY2024</t>
        </is>
      </c>
      <c r="F77" s="10" t="inlineStr">
        <is>
          <t>as_reported</t>
        </is>
      </c>
      <c r="G77" s="11" t="n">
        <v>1143.7</v>
      </c>
      <c r="H77" s="10" t="inlineStr">
        <is>
          <t>units</t>
        </is>
      </c>
      <c r="I77" s="10" t="inlineStr">
        <is>
          <t>cents_per_share</t>
        </is>
      </c>
      <c r="J77" s="10" t="inlineStr">
        <is>
          <t>ZAR</t>
        </is>
      </c>
      <c r="K77" s="10" t="n">
        <v>91</v>
      </c>
      <c r="L77" s="12" t="n"/>
      <c r="M77" s="10" t="inlineStr">
        <is>
          <t>eps_diluted</t>
        </is>
      </c>
      <c r="N77" s="10" t="inlineStr"/>
    </row>
    <row r="78">
      <c r="A78" s="10" t="n">
        <v>74</v>
      </c>
      <c r="B78" s="10" t="inlineStr">
        <is>
          <t>income_statement</t>
        </is>
      </c>
      <c r="C78" s="10" t="inlineStr">
        <is>
          <t>36</t>
        </is>
      </c>
      <c r="D78" s="10" t="inlineStr">
        <is>
          <t>Diluted earnings per share (cents)</t>
        </is>
      </c>
      <c r="E78" s="10" t="inlineStr">
        <is>
          <t>FY2023</t>
        </is>
      </c>
      <c r="F78" s="10" t="inlineStr">
        <is>
          <t>restated</t>
        </is>
      </c>
      <c r="G78" s="11" t="n">
        <v>1077.9</v>
      </c>
      <c r="H78" s="10" t="inlineStr">
        <is>
          <t>units</t>
        </is>
      </c>
      <c r="I78" s="10" t="inlineStr">
        <is>
          <t>cents_per_share</t>
        </is>
      </c>
      <c r="J78" s="10" t="inlineStr">
        <is>
          <t>ZAR</t>
        </is>
      </c>
      <c r="K78" s="10" t="n">
        <v>91</v>
      </c>
      <c r="L78" s="12" t="n"/>
      <c r="M78" s="10" t="inlineStr">
        <is>
          <t>eps_diluted</t>
        </is>
      </c>
      <c r="N78" s="10" t="inlineStr"/>
    </row>
  </sheetData>
  <autoFilter ref="A4:N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9" customWidth="1" min="3" max="3"/>
    <col width="56" customWidth="1" min="4" max="4"/>
    <col width="9" customWidth="1" min="5" max="5"/>
    <col width="13" customWidth="1" min="6" max="6"/>
    <col width="15" customWidth="1" min="7" max="7"/>
    <col width="11" customWidth="1" min="8" max="8"/>
    <col width="10" customWidth="1" min="9" max="9"/>
    <col width="9" customWidth="1" min="10" max="10"/>
    <col width="10" customWidth="1" min="11" max="11"/>
    <col width="9" customWidth="1" min="12" max="12"/>
    <col width="30" customWidth="1" min="13" max="13"/>
    <col width="52" customWidth="1" min="14" max="14"/>
  </cols>
  <sheetData>
    <row r="1">
      <c r="A1" s="6" t="inlineStr">
        <is>
          <t>M2.6/2.10  Consolidated statement of financial position - as at 30 June 2024</t>
        </is>
      </c>
    </row>
    <row r="2">
      <c r="A2" s="7" t="inlineStr">
        <is>
          <t>Source: Shoprite Holdings Ltd, Annual Financial Statements 2024 (52 weeks ended 30 June 2024), file shp-afs-2024-print.pdf. pdf_page is the PDF page index, pre-filled. VERIFY each value against that page, then set verified to Y.</t>
        </is>
      </c>
    </row>
    <row r="3">
      <c r="A3" s="8" t="inlineStr">
        <is>
          <t>NOTE NUMBERS DIFFER FROM FY2025: Inventories is note 17 here, note 16 in FY2025. Stated capital 18 vs 17. Note references are not stable identifiers across years.</t>
        </is>
      </c>
    </row>
    <row r="4">
      <c r="A4" s="9" t="inlineStr">
        <is>
          <t>row_id</t>
        </is>
      </c>
      <c r="B4" s="9" t="inlineStr">
        <is>
          <t>statement</t>
        </is>
      </c>
      <c r="C4" s="9" t="inlineStr">
        <is>
          <t>note_ref</t>
        </is>
      </c>
      <c r="D4" s="9" t="inlineStr">
        <is>
          <t>as_reported_label</t>
        </is>
      </c>
      <c r="E4" s="9" t="inlineStr">
        <is>
          <t>period</t>
        </is>
      </c>
      <c r="F4" s="9" t="inlineStr">
        <is>
          <t>basis</t>
        </is>
      </c>
      <c r="G4" s="9" t="inlineStr">
        <is>
          <t>value_as_printed</t>
        </is>
      </c>
      <c r="H4" s="9" t="inlineStr">
        <is>
          <t>scale</t>
        </is>
      </c>
      <c r="I4" s="9" t="inlineStr">
        <is>
          <t>unit</t>
        </is>
      </c>
      <c r="J4" s="9" t="inlineStr">
        <is>
          <t>currency</t>
        </is>
      </c>
      <c r="K4" s="9" t="inlineStr">
        <is>
          <t>pdf_page</t>
        </is>
      </c>
      <c r="L4" s="9" t="inlineStr">
        <is>
          <t>verified</t>
        </is>
      </c>
      <c r="M4" s="9" t="inlineStr">
        <is>
          <t>concept_suggestion</t>
        </is>
      </c>
      <c r="N4" s="9" t="inlineStr">
        <is>
          <t>notes</t>
        </is>
      </c>
    </row>
    <row r="5">
      <c r="A5" s="10" t="n">
        <v>1</v>
      </c>
      <c r="B5" s="10" t="inlineStr">
        <is>
          <t>balance_sheet</t>
        </is>
      </c>
      <c r="C5" s="10" t="inlineStr"/>
      <c r="D5" s="10" t="inlineStr">
        <is>
          <t>Non-current assets</t>
        </is>
      </c>
      <c r="E5" s="10" t="inlineStr">
        <is>
          <t>FY2024</t>
        </is>
      </c>
      <c r="F5" s="10" t="inlineStr">
        <is>
          <t>as_reported</t>
        </is>
      </c>
      <c r="G5" s="11" t="n">
        <v>62269</v>
      </c>
      <c r="H5" s="10" t="inlineStr">
        <is>
          <t>millions</t>
        </is>
      </c>
      <c r="I5" s="10" t="inlineStr">
        <is>
          <t>currency</t>
        </is>
      </c>
      <c r="J5" s="10" t="inlineStr">
        <is>
          <t>ZAR</t>
        </is>
      </c>
      <c r="K5" s="10" t="n">
        <v>20</v>
      </c>
      <c r="L5" s="12" t="n"/>
      <c r="M5" s="10" t="inlineStr">
        <is>
          <t>total_non_current_assets</t>
        </is>
      </c>
      <c r="N5" s="10" t="inlineStr"/>
    </row>
    <row r="6">
      <c r="A6" s="10" t="n">
        <v>2</v>
      </c>
      <c r="B6" s="10" t="inlineStr">
        <is>
          <t>balance_sheet</t>
        </is>
      </c>
      <c r="C6" s="10" t="inlineStr"/>
      <c r="D6" s="10" t="inlineStr">
        <is>
          <t>Non-current assets</t>
        </is>
      </c>
      <c r="E6" s="10" t="inlineStr">
        <is>
          <t>FY2023</t>
        </is>
      </c>
      <c r="F6" s="10" t="inlineStr">
        <is>
          <t>restated</t>
        </is>
      </c>
      <c r="G6" s="11" t="n">
        <v>54485</v>
      </c>
      <c r="H6" s="10" t="inlineStr">
        <is>
          <t>millions</t>
        </is>
      </c>
      <c r="I6" s="10" t="inlineStr">
        <is>
          <t>currency</t>
        </is>
      </c>
      <c r="J6" s="10" t="inlineStr">
        <is>
          <t>ZAR</t>
        </is>
      </c>
      <c r="K6" s="10" t="n">
        <v>20</v>
      </c>
      <c r="L6" s="12" t="n"/>
      <c r="M6" s="10" t="inlineStr">
        <is>
          <t>total_non_current_assets</t>
        </is>
      </c>
      <c r="N6" s="10" t="inlineStr">
        <is>
          <t>IFRS 17 restatement</t>
        </is>
      </c>
    </row>
    <row r="7">
      <c r="A7" s="10" t="n">
        <v>3</v>
      </c>
      <c r="B7" s="10" t="inlineStr">
        <is>
          <t>balance_sheet</t>
        </is>
      </c>
      <c r="C7" s="10" t="inlineStr">
        <is>
          <t>3</t>
        </is>
      </c>
      <c r="D7" s="10" t="inlineStr">
        <is>
          <t>Property, plant and equipment</t>
        </is>
      </c>
      <c r="E7" s="10" t="inlineStr">
        <is>
          <t>FY2024</t>
        </is>
      </c>
      <c r="F7" s="10" t="inlineStr">
        <is>
          <t>as_reported</t>
        </is>
      </c>
      <c r="G7" s="11" t="n">
        <v>19672</v>
      </c>
      <c r="H7" s="10" t="inlineStr">
        <is>
          <t>millions</t>
        </is>
      </c>
      <c r="I7" s="10" t="inlineStr">
        <is>
          <t>currency</t>
        </is>
      </c>
      <c r="J7" s="10" t="inlineStr">
        <is>
          <t>ZAR</t>
        </is>
      </c>
      <c r="K7" s="10" t="n">
        <v>20</v>
      </c>
      <c r="L7" s="12" t="n"/>
      <c r="M7" s="10" t="inlineStr">
        <is>
          <t>property_plant_equipment</t>
        </is>
      </c>
      <c r="N7" s="10" t="inlineStr"/>
    </row>
    <row r="8">
      <c r="A8" s="10" t="n">
        <v>4</v>
      </c>
      <c r="B8" s="10" t="inlineStr">
        <is>
          <t>balance_sheet</t>
        </is>
      </c>
      <c r="C8" s="10" t="inlineStr">
        <is>
          <t>3</t>
        </is>
      </c>
      <c r="D8" s="10" t="inlineStr">
        <is>
          <t>Property, plant and equipment</t>
        </is>
      </c>
      <c r="E8" s="10" t="inlineStr">
        <is>
          <t>FY2023</t>
        </is>
      </c>
      <c r="F8" s="10" t="inlineStr">
        <is>
          <t>restated</t>
        </is>
      </c>
      <c r="G8" s="11" t="n">
        <v>16601</v>
      </c>
      <c r="H8" s="10" t="inlineStr">
        <is>
          <t>millions</t>
        </is>
      </c>
      <c r="I8" s="10" t="inlineStr">
        <is>
          <t>currency</t>
        </is>
      </c>
      <c r="J8" s="10" t="inlineStr">
        <is>
          <t>ZAR</t>
        </is>
      </c>
      <c r="K8" s="10" t="n">
        <v>20</v>
      </c>
      <c r="L8" s="12" t="n"/>
      <c r="M8" s="10" t="inlineStr">
        <is>
          <t>property_plant_equipment</t>
        </is>
      </c>
      <c r="N8" s="10" t="inlineStr">
        <is>
          <t>IFRS 17 restatement</t>
        </is>
      </c>
    </row>
    <row r="9">
      <c r="A9" s="10" t="n">
        <v>5</v>
      </c>
      <c r="B9" s="10" t="inlineStr">
        <is>
          <t>balance_sheet</t>
        </is>
      </c>
      <c r="C9" s="10" t="inlineStr">
        <is>
          <t>5</t>
        </is>
      </c>
      <c r="D9" s="10" t="inlineStr">
        <is>
          <t>Investment properties</t>
        </is>
      </c>
      <c r="E9" s="10" t="inlineStr">
        <is>
          <t>FY2024</t>
        </is>
      </c>
      <c r="F9" s="10" t="inlineStr">
        <is>
          <t>as_reported</t>
        </is>
      </c>
      <c r="G9" s="11" t="n">
        <v>617</v>
      </c>
      <c r="H9" s="10" t="inlineStr">
        <is>
          <t>millions</t>
        </is>
      </c>
      <c r="I9" s="10" t="inlineStr">
        <is>
          <t>currency</t>
        </is>
      </c>
      <c r="J9" s="10" t="inlineStr">
        <is>
          <t>ZAR</t>
        </is>
      </c>
      <c r="K9" s="10" t="n">
        <v>20</v>
      </c>
      <c r="L9" s="12" t="n"/>
      <c r="M9" s="10" t="inlineStr">
        <is>
          <t>investment_properties</t>
        </is>
      </c>
      <c r="N9" s="10" t="inlineStr"/>
    </row>
    <row r="10">
      <c r="A10" s="10" t="n">
        <v>6</v>
      </c>
      <c r="B10" s="10" t="inlineStr">
        <is>
          <t>balance_sheet</t>
        </is>
      </c>
      <c r="C10" s="10" t="inlineStr">
        <is>
          <t>5</t>
        </is>
      </c>
      <c r="D10" s="10" t="inlineStr">
        <is>
          <t>Investment properties</t>
        </is>
      </c>
      <c r="E10" s="10" t="inlineStr">
        <is>
          <t>FY2023</t>
        </is>
      </c>
      <c r="F10" s="10" t="inlineStr">
        <is>
          <t>restated</t>
        </is>
      </c>
      <c r="G10" s="11" t="n">
        <v>0</v>
      </c>
      <c r="H10" s="10" t="inlineStr">
        <is>
          <t>millions</t>
        </is>
      </c>
      <c r="I10" s="10" t="inlineStr">
        <is>
          <t>currency</t>
        </is>
      </c>
      <c r="J10" s="10" t="inlineStr">
        <is>
          <t>ZAR</t>
        </is>
      </c>
      <c r="K10" s="10" t="n">
        <v>20</v>
      </c>
      <c r="L10" s="12" t="n"/>
      <c r="M10" s="10" t="inlineStr">
        <is>
          <t>investment_properties</t>
        </is>
      </c>
      <c r="N10" s="10" t="inlineStr">
        <is>
          <t>IFRS 17 restatement</t>
        </is>
      </c>
    </row>
    <row r="11">
      <c r="A11" s="10" t="n">
        <v>7</v>
      </c>
      <c r="B11" s="10" t="inlineStr">
        <is>
          <t>balance_sheet</t>
        </is>
      </c>
      <c r="C11" s="10" t="inlineStr">
        <is>
          <t>6</t>
        </is>
      </c>
      <c r="D11" s="10" t="inlineStr">
        <is>
          <t>Right-of-use assets</t>
        </is>
      </c>
      <c r="E11" s="10" t="inlineStr">
        <is>
          <t>FY2024</t>
        </is>
      </c>
      <c r="F11" s="10" t="inlineStr">
        <is>
          <t>as_reported</t>
        </is>
      </c>
      <c r="G11" s="11" t="n">
        <v>30469</v>
      </c>
      <c r="H11" s="10" t="inlineStr">
        <is>
          <t>millions</t>
        </is>
      </c>
      <c r="I11" s="10" t="inlineStr">
        <is>
          <t>currency</t>
        </is>
      </c>
      <c r="J11" s="10" t="inlineStr">
        <is>
          <t>ZAR</t>
        </is>
      </c>
      <c r="K11" s="10" t="n">
        <v>20</v>
      </c>
      <c r="L11" s="12" t="n"/>
      <c r="M11" s="10" t="inlineStr">
        <is>
          <t>right_of_use_assets</t>
        </is>
      </c>
      <c r="N11" s="10" t="inlineStr"/>
    </row>
    <row r="12">
      <c r="A12" s="10" t="n">
        <v>8</v>
      </c>
      <c r="B12" s="10" t="inlineStr">
        <is>
          <t>balance_sheet</t>
        </is>
      </c>
      <c r="C12" s="10" t="inlineStr">
        <is>
          <t>6</t>
        </is>
      </c>
      <c r="D12" s="10" t="inlineStr">
        <is>
          <t>Right-of-use assets</t>
        </is>
      </c>
      <c r="E12" s="10" t="inlineStr">
        <is>
          <t>FY2023</t>
        </is>
      </c>
      <c r="F12" s="10" t="inlineStr">
        <is>
          <t>restated</t>
        </is>
      </c>
      <c r="G12" s="11" t="n">
        <v>26781</v>
      </c>
      <c r="H12" s="10" t="inlineStr">
        <is>
          <t>millions</t>
        </is>
      </c>
      <c r="I12" s="10" t="inlineStr">
        <is>
          <t>currency</t>
        </is>
      </c>
      <c r="J12" s="10" t="inlineStr">
        <is>
          <t>ZAR</t>
        </is>
      </c>
      <c r="K12" s="10" t="n">
        <v>20</v>
      </c>
      <c r="L12" s="12" t="n"/>
      <c r="M12" s="10" t="inlineStr">
        <is>
          <t>right_of_use_assets</t>
        </is>
      </c>
      <c r="N12" s="10" t="inlineStr">
        <is>
          <t>IFRS 17 restatement</t>
        </is>
      </c>
    </row>
    <row r="13">
      <c r="A13" s="10" t="n">
        <v>9</v>
      </c>
      <c r="B13" s="10" t="inlineStr">
        <is>
          <t>balance_sheet</t>
        </is>
      </c>
      <c r="C13" s="10" t="inlineStr">
        <is>
          <t>7</t>
        </is>
      </c>
      <c r="D13" s="10" t="inlineStr">
        <is>
          <t>Intangible assets</t>
        </is>
      </c>
      <c r="E13" s="10" t="inlineStr">
        <is>
          <t>FY2024</t>
        </is>
      </c>
      <c r="F13" s="10" t="inlineStr">
        <is>
          <t>as_reported</t>
        </is>
      </c>
      <c r="G13" s="11" t="n">
        <v>4695</v>
      </c>
      <c r="H13" s="10" t="inlineStr">
        <is>
          <t>millions</t>
        </is>
      </c>
      <c r="I13" s="10" t="inlineStr">
        <is>
          <t>currency</t>
        </is>
      </c>
      <c r="J13" s="10" t="inlineStr">
        <is>
          <t>ZAR</t>
        </is>
      </c>
      <c r="K13" s="10" t="n">
        <v>20</v>
      </c>
      <c r="L13" s="12" t="n"/>
      <c r="M13" s="10" t="inlineStr">
        <is>
          <t>intangible_assets</t>
        </is>
      </c>
      <c r="N13" s="10" t="inlineStr"/>
    </row>
    <row r="14">
      <c r="A14" s="10" t="n">
        <v>10</v>
      </c>
      <c r="B14" s="10" t="inlineStr">
        <is>
          <t>balance_sheet</t>
        </is>
      </c>
      <c r="C14" s="10" t="inlineStr">
        <is>
          <t>7</t>
        </is>
      </c>
      <c r="D14" s="10" t="inlineStr">
        <is>
          <t>Intangible assets</t>
        </is>
      </c>
      <c r="E14" s="10" t="inlineStr">
        <is>
          <t>FY2023</t>
        </is>
      </c>
      <c r="F14" s="10" t="inlineStr">
        <is>
          <t>restated</t>
        </is>
      </c>
      <c r="G14" s="11" t="n">
        <v>4225</v>
      </c>
      <c r="H14" s="10" t="inlineStr">
        <is>
          <t>millions</t>
        </is>
      </c>
      <c r="I14" s="10" t="inlineStr">
        <is>
          <t>currency</t>
        </is>
      </c>
      <c r="J14" s="10" t="inlineStr">
        <is>
          <t>ZAR</t>
        </is>
      </c>
      <c r="K14" s="10" t="n">
        <v>20</v>
      </c>
      <c r="L14" s="12" t="n"/>
      <c r="M14" s="10" t="inlineStr">
        <is>
          <t>intangible_assets</t>
        </is>
      </c>
      <c r="N14" s="10" t="inlineStr">
        <is>
          <t>IFRS 17 restatement</t>
        </is>
      </c>
    </row>
    <row r="15">
      <c r="A15" s="10" t="n">
        <v>11</v>
      </c>
      <c r="B15" s="10" t="inlineStr">
        <is>
          <t>balance_sheet</t>
        </is>
      </c>
      <c r="C15" s="10" t="inlineStr">
        <is>
          <t>9</t>
        </is>
      </c>
      <c r="D15" s="10" t="inlineStr">
        <is>
          <t>Equity accounted investments</t>
        </is>
      </c>
      <c r="E15" s="10" t="inlineStr">
        <is>
          <t>FY2024</t>
        </is>
      </c>
      <c r="F15" s="10" t="inlineStr">
        <is>
          <t>as_reported</t>
        </is>
      </c>
      <c r="G15" s="11" t="n">
        <v>2478</v>
      </c>
      <c r="H15" s="10" t="inlineStr">
        <is>
          <t>millions</t>
        </is>
      </c>
      <c r="I15" s="10" t="inlineStr">
        <is>
          <t>currency</t>
        </is>
      </c>
      <c r="J15" s="10" t="inlineStr">
        <is>
          <t>ZAR</t>
        </is>
      </c>
      <c r="K15" s="10" t="n">
        <v>20</v>
      </c>
      <c r="L15" s="12" t="n"/>
      <c r="M15" s="10" t="inlineStr">
        <is>
          <t>equity_accounted_investments</t>
        </is>
      </c>
      <c r="N15" s="10" t="inlineStr"/>
    </row>
    <row r="16">
      <c r="A16" s="10" t="n">
        <v>12</v>
      </c>
      <c r="B16" s="10" t="inlineStr">
        <is>
          <t>balance_sheet</t>
        </is>
      </c>
      <c r="C16" s="10" t="inlineStr">
        <is>
          <t>9</t>
        </is>
      </c>
      <c r="D16" s="10" t="inlineStr">
        <is>
          <t>Equity accounted investments</t>
        </is>
      </c>
      <c r="E16" s="10" t="inlineStr">
        <is>
          <t>FY2023</t>
        </is>
      </c>
      <c r="F16" s="10" t="inlineStr">
        <is>
          <t>restated</t>
        </is>
      </c>
      <c r="G16" s="11" t="n">
        <v>2312</v>
      </c>
      <c r="H16" s="10" t="inlineStr">
        <is>
          <t>millions</t>
        </is>
      </c>
      <c r="I16" s="10" t="inlineStr">
        <is>
          <t>currency</t>
        </is>
      </c>
      <c r="J16" s="10" t="inlineStr">
        <is>
          <t>ZAR</t>
        </is>
      </c>
      <c r="K16" s="10" t="n">
        <v>20</v>
      </c>
      <c r="L16" s="12" t="n"/>
      <c r="M16" s="10" t="inlineStr">
        <is>
          <t>equity_accounted_investments</t>
        </is>
      </c>
      <c r="N16" s="10" t="inlineStr">
        <is>
          <t>IFRS 17 restatement</t>
        </is>
      </c>
    </row>
    <row r="17">
      <c r="A17" s="10" t="n">
        <v>13</v>
      </c>
      <c r="B17" s="10" t="inlineStr">
        <is>
          <t>balance_sheet</t>
        </is>
      </c>
      <c r="C17" s="10" t="inlineStr">
        <is>
          <t>10</t>
        </is>
      </c>
      <c r="D17" s="10" t="inlineStr">
        <is>
          <t>Convertible loans</t>
        </is>
      </c>
      <c r="E17" s="10" t="inlineStr">
        <is>
          <t>FY2024</t>
        </is>
      </c>
      <c r="F17" s="10" t="inlineStr">
        <is>
          <t>as_reported</t>
        </is>
      </c>
      <c r="G17" s="11" t="n">
        <v>0</v>
      </c>
      <c r="H17" s="10" t="inlineStr">
        <is>
          <t>millions</t>
        </is>
      </c>
      <c r="I17" s="10" t="inlineStr">
        <is>
          <t>currency</t>
        </is>
      </c>
      <c r="J17" s="10" t="inlineStr">
        <is>
          <t>ZAR</t>
        </is>
      </c>
      <c r="K17" s="10" t="n">
        <v>20</v>
      </c>
      <c r="L17" s="12" t="n"/>
      <c r="M17" s="10" t="inlineStr">
        <is>
          <t>convertible_loans</t>
        </is>
      </c>
      <c r="N17" s="10" t="inlineStr">
        <is>
          <t>LINE DISAPPEARS in FY2025 - note the FY2024 note numbering differs from FY2025 throughout</t>
        </is>
      </c>
    </row>
    <row r="18">
      <c r="A18" s="10" t="n">
        <v>14</v>
      </c>
      <c r="B18" s="10" t="inlineStr">
        <is>
          <t>balance_sheet</t>
        </is>
      </c>
      <c r="C18" s="10" t="inlineStr">
        <is>
          <t>10</t>
        </is>
      </c>
      <c r="D18" s="10" t="inlineStr">
        <is>
          <t>Convertible loans</t>
        </is>
      </c>
      <c r="E18" s="10" t="inlineStr">
        <is>
          <t>FY2023</t>
        </is>
      </c>
      <c r="F18" s="10" t="inlineStr">
        <is>
          <t>restated</t>
        </is>
      </c>
      <c r="G18" s="11" t="n">
        <v>22</v>
      </c>
      <c r="H18" s="10" t="inlineStr">
        <is>
          <t>millions</t>
        </is>
      </c>
      <c r="I18" s="10" t="inlineStr">
        <is>
          <t>currency</t>
        </is>
      </c>
      <c r="J18" s="10" t="inlineStr">
        <is>
          <t>ZAR</t>
        </is>
      </c>
      <c r="K18" s="10" t="n">
        <v>20</v>
      </c>
      <c r="L18" s="12" t="n"/>
      <c r="M18" s="10" t="inlineStr">
        <is>
          <t>convertible_loans</t>
        </is>
      </c>
      <c r="N18" s="10" t="inlineStr">
        <is>
          <t>IFRS 17 restatement</t>
        </is>
      </c>
    </row>
    <row r="19">
      <c r="A19" s="10" t="n">
        <v>15</v>
      </c>
      <c r="B19" s="10" t="inlineStr">
        <is>
          <t>balance_sheet</t>
        </is>
      </c>
      <c r="C19" s="10" t="inlineStr">
        <is>
          <t>11</t>
        </is>
      </c>
      <c r="D19" s="10" t="inlineStr">
        <is>
          <t>Investments at fair value through other comprehensive income</t>
        </is>
      </c>
      <c r="E19" s="10" t="inlineStr">
        <is>
          <t>FY2024</t>
        </is>
      </c>
      <c r="F19" s="10" t="inlineStr">
        <is>
          <t>as_reported</t>
        </is>
      </c>
      <c r="G19" s="11" t="n">
        <v>67</v>
      </c>
      <c r="H19" s="10" t="inlineStr">
        <is>
          <t>millions</t>
        </is>
      </c>
      <c r="I19" s="10" t="inlineStr">
        <is>
          <t>currency</t>
        </is>
      </c>
      <c r="J19" s="10" t="inlineStr">
        <is>
          <t>ZAR</t>
        </is>
      </c>
      <c r="K19" s="10" t="n">
        <v>20</v>
      </c>
      <c r="L19" s="12" t="n"/>
      <c r="M19" s="10" t="inlineStr">
        <is>
          <t>investments_fvoci</t>
        </is>
      </c>
      <c r="N19" s="10" t="inlineStr"/>
    </row>
    <row r="20">
      <c r="A20" s="10" t="n">
        <v>16</v>
      </c>
      <c r="B20" s="10" t="inlineStr">
        <is>
          <t>balance_sheet</t>
        </is>
      </c>
      <c r="C20" s="10" t="inlineStr">
        <is>
          <t>11</t>
        </is>
      </c>
      <c r="D20" s="10" t="inlineStr">
        <is>
          <t>Investments at fair value through other comprehensive income</t>
        </is>
      </c>
      <c r="E20" s="10" t="inlineStr">
        <is>
          <t>FY2023</t>
        </is>
      </c>
      <c r="F20" s="10" t="inlineStr">
        <is>
          <t>restated</t>
        </is>
      </c>
      <c r="G20" s="11" t="n">
        <v>0</v>
      </c>
      <c r="H20" s="10" t="inlineStr">
        <is>
          <t>millions</t>
        </is>
      </c>
      <c r="I20" s="10" t="inlineStr">
        <is>
          <t>currency</t>
        </is>
      </c>
      <c r="J20" s="10" t="inlineStr">
        <is>
          <t>ZAR</t>
        </is>
      </c>
      <c r="K20" s="10" t="n">
        <v>20</v>
      </c>
      <c r="L20" s="12" t="n"/>
      <c r="M20" s="10" t="inlineStr">
        <is>
          <t>investments_fvoci</t>
        </is>
      </c>
      <c r="N20" s="10" t="inlineStr">
        <is>
          <t>IFRS 17 restatement</t>
        </is>
      </c>
    </row>
    <row r="21">
      <c r="A21" s="10" t="n">
        <v>17</v>
      </c>
      <c r="B21" s="10" t="inlineStr">
        <is>
          <t>balance_sheet</t>
        </is>
      </c>
      <c r="C21" s="10" t="inlineStr">
        <is>
          <t>12</t>
        </is>
      </c>
      <c r="D21" s="10" t="inlineStr">
        <is>
          <t>Investment in insurance cell captive arrangements (non-current)</t>
        </is>
      </c>
      <c r="E21" s="10" t="inlineStr">
        <is>
          <t>FY2024</t>
        </is>
      </c>
      <c r="F21" s="10" t="inlineStr">
        <is>
          <t>as_reported</t>
        </is>
      </c>
      <c r="G21" s="11" t="n">
        <v>129</v>
      </c>
      <c r="H21" s="10" t="inlineStr">
        <is>
          <t>millions</t>
        </is>
      </c>
      <c r="I21" s="10" t="inlineStr">
        <is>
          <t>currency</t>
        </is>
      </c>
      <c r="J21" s="10" t="inlineStr">
        <is>
          <t>ZAR</t>
        </is>
      </c>
      <c r="K21" s="10" t="n">
        <v>20</v>
      </c>
      <c r="L21" s="12" t="n"/>
      <c r="M21" s="10" t="inlineStr">
        <is>
          <t>insurance_cell_captive_non_current</t>
        </is>
      </c>
      <c r="N21" s="10" t="inlineStr"/>
    </row>
    <row r="22">
      <c r="A22" s="10" t="n">
        <v>18</v>
      </c>
      <c r="B22" s="10" t="inlineStr">
        <is>
          <t>balance_sheet</t>
        </is>
      </c>
      <c r="C22" s="10" t="inlineStr">
        <is>
          <t>12</t>
        </is>
      </c>
      <c r="D22" s="10" t="inlineStr">
        <is>
          <t>Investment in insurance cell captive arrangements (non-current)</t>
        </is>
      </c>
      <c r="E22" s="10" t="inlineStr">
        <is>
          <t>FY2023</t>
        </is>
      </c>
      <c r="F22" s="10" t="inlineStr">
        <is>
          <t>restated</t>
        </is>
      </c>
      <c r="G22" s="11" t="n">
        <v>128</v>
      </c>
      <c r="H22" s="10" t="inlineStr">
        <is>
          <t>millions</t>
        </is>
      </c>
      <c r="I22" s="10" t="inlineStr">
        <is>
          <t>currency</t>
        </is>
      </c>
      <c r="J22" s="10" t="inlineStr">
        <is>
          <t>ZAR</t>
        </is>
      </c>
      <c r="K22" s="10" t="n">
        <v>20</v>
      </c>
      <c r="L22" s="12" t="n"/>
      <c r="M22" s="10" t="inlineStr">
        <is>
          <t>insurance_cell_captive_non_current</t>
        </is>
      </c>
      <c r="N22" s="10" t="inlineStr">
        <is>
          <t>IFRS 17 restatement</t>
        </is>
      </c>
    </row>
    <row r="23">
      <c r="A23" s="10" t="n">
        <v>19</v>
      </c>
      <c r="B23" s="10" t="inlineStr">
        <is>
          <t>balance_sheet</t>
        </is>
      </c>
      <c r="C23" s="10" t="inlineStr">
        <is>
          <t>13</t>
        </is>
      </c>
      <c r="D23" s="10" t="inlineStr">
        <is>
          <t>Government bonds and bills (non-current)</t>
        </is>
      </c>
      <c r="E23" s="10" t="inlineStr">
        <is>
          <t>FY2024</t>
        </is>
      </c>
      <c r="F23" s="10" t="inlineStr">
        <is>
          <t>as_reported</t>
        </is>
      </c>
      <c r="G23" s="11" t="n">
        <v>0</v>
      </c>
      <c r="H23" s="10" t="inlineStr">
        <is>
          <t>millions</t>
        </is>
      </c>
      <c r="I23" s="10" t="inlineStr">
        <is>
          <t>currency</t>
        </is>
      </c>
      <c r="J23" s="10" t="inlineStr">
        <is>
          <t>ZAR</t>
        </is>
      </c>
      <c r="K23" s="10" t="n">
        <v>20</v>
      </c>
      <c r="L23" s="12" t="n"/>
      <c r="M23" s="10" t="inlineStr">
        <is>
          <t>government_bonds_non_current</t>
        </is>
      </c>
      <c r="N23" s="10" t="inlineStr"/>
    </row>
    <row r="24">
      <c r="A24" s="10" t="n">
        <v>20</v>
      </c>
      <c r="B24" s="10" t="inlineStr">
        <is>
          <t>balance_sheet</t>
        </is>
      </c>
      <c r="C24" s="10" t="inlineStr">
        <is>
          <t>13</t>
        </is>
      </c>
      <c r="D24" s="10" t="inlineStr">
        <is>
          <t>Government bonds and bills (non-current)</t>
        </is>
      </c>
      <c r="E24" s="10" t="inlineStr">
        <is>
          <t>FY2023</t>
        </is>
      </c>
      <c r="F24" s="10" t="inlineStr">
        <is>
          <t>restated</t>
        </is>
      </c>
      <c r="G24" s="11" t="n">
        <v>716</v>
      </c>
      <c r="H24" s="10" t="inlineStr">
        <is>
          <t>millions</t>
        </is>
      </c>
      <c r="I24" s="10" t="inlineStr">
        <is>
          <t>currency</t>
        </is>
      </c>
      <c r="J24" s="10" t="inlineStr">
        <is>
          <t>ZAR</t>
        </is>
      </c>
      <c r="K24" s="10" t="n">
        <v>20</v>
      </c>
      <c r="L24" s="12" t="n"/>
      <c r="M24" s="10" t="inlineStr">
        <is>
          <t>government_bonds_non_current</t>
        </is>
      </c>
      <c r="N24" s="10" t="inlineStr">
        <is>
          <t>IFRS 17 restatement</t>
        </is>
      </c>
    </row>
    <row r="25">
      <c r="A25" s="10" t="n">
        <v>21</v>
      </c>
      <c r="B25" s="10" t="inlineStr">
        <is>
          <t>balance_sheet</t>
        </is>
      </c>
      <c r="C25" s="10" t="inlineStr">
        <is>
          <t>14</t>
        </is>
      </c>
      <c r="D25" s="10" t="inlineStr">
        <is>
          <t>Loans receivable (non-current)</t>
        </is>
      </c>
      <c r="E25" s="10" t="inlineStr">
        <is>
          <t>FY2024</t>
        </is>
      </c>
      <c r="F25" s="10" t="inlineStr">
        <is>
          <t>as_reported</t>
        </is>
      </c>
      <c r="G25" s="11" t="n">
        <v>429</v>
      </c>
      <c r="H25" s="10" t="inlineStr">
        <is>
          <t>millions</t>
        </is>
      </c>
      <c r="I25" s="10" t="inlineStr">
        <is>
          <t>currency</t>
        </is>
      </c>
      <c r="J25" s="10" t="inlineStr">
        <is>
          <t>ZAR</t>
        </is>
      </c>
      <c r="K25" s="10" t="n">
        <v>20</v>
      </c>
      <c r="L25" s="12" t="n"/>
      <c r="M25" s="10" t="inlineStr">
        <is>
          <t>loans_receivable_non_current</t>
        </is>
      </c>
      <c r="N25" s="10" t="inlineStr"/>
    </row>
    <row r="26">
      <c r="A26" s="10" t="n">
        <v>22</v>
      </c>
      <c r="B26" s="10" t="inlineStr">
        <is>
          <t>balance_sheet</t>
        </is>
      </c>
      <c r="C26" s="10" t="inlineStr">
        <is>
          <t>14</t>
        </is>
      </c>
      <c r="D26" s="10" t="inlineStr">
        <is>
          <t>Loans receivable (non-current)</t>
        </is>
      </c>
      <c r="E26" s="10" t="inlineStr">
        <is>
          <t>FY2023</t>
        </is>
      </c>
      <c r="F26" s="10" t="inlineStr">
        <is>
          <t>restated</t>
        </is>
      </c>
      <c r="G26" s="11" t="n">
        <v>647</v>
      </c>
      <c r="H26" s="10" t="inlineStr">
        <is>
          <t>millions</t>
        </is>
      </c>
      <c r="I26" s="10" t="inlineStr">
        <is>
          <t>currency</t>
        </is>
      </c>
      <c r="J26" s="10" t="inlineStr">
        <is>
          <t>ZAR</t>
        </is>
      </c>
      <c r="K26" s="10" t="n">
        <v>20</v>
      </c>
      <c r="L26" s="12" t="n"/>
      <c r="M26" s="10" t="inlineStr">
        <is>
          <t>loans_receivable_non_current</t>
        </is>
      </c>
      <c r="N26" s="10" t="inlineStr">
        <is>
          <t>IFRS 17 restatement</t>
        </is>
      </c>
    </row>
    <row r="27">
      <c r="A27" s="10" t="n">
        <v>23</v>
      </c>
      <c r="B27" s="10" t="inlineStr">
        <is>
          <t>balance_sheet</t>
        </is>
      </c>
      <c r="C27" s="10" t="inlineStr">
        <is>
          <t>15</t>
        </is>
      </c>
      <c r="D27" s="10" t="inlineStr">
        <is>
          <t>Deferred income tax assets</t>
        </is>
      </c>
      <c r="E27" s="10" t="inlineStr">
        <is>
          <t>FY2024</t>
        </is>
      </c>
      <c r="F27" s="10" t="inlineStr">
        <is>
          <t>as_reported</t>
        </is>
      </c>
      <c r="G27" s="11" t="n">
        <v>3297</v>
      </c>
      <c r="H27" s="10" t="inlineStr">
        <is>
          <t>millions</t>
        </is>
      </c>
      <c r="I27" s="10" t="inlineStr">
        <is>
          <t>currency</t>
        </is>
      </c>
      <c r="J27" s="10" t="inlineStr">
        <is>
          <t>ZAR</t>
        </is>
      </c>
      <c r="K27" s="10" t="n">
        <v>20</v>
      </c>
      <c r="L27" s="12" t="n"/>
      <c r="M27" s="10" t="inlineStr">
        <is>
          <t>deferred_tax_assets</t>
        </is>
      </c>
      <c r="N27" s="10" t="inlineStr"/>
    </row>
    <row r="28">
      <c r="A28" s="10" t="n">
        <v>24</v>
      </c>
      <c r="B28" s="10" t="inlineStr">
        <is>
          <t>balance_sheet</t>
        </is>
      </c>
      <c r="C28" s="10" t="inlineStr">
        <is>
          <t>15</t>
        </is>
      </c>
      <c r="D28" s="10" t="inlineStr">
        <is>
          <t>Deferred income tax assets</t>
        </is>
      </c>
      <c r="E28" s="10" t="inlineStr">
        <is>
          <t>FY2023</t>
        </is>
      </c>
      <c r="F28" s="10" t="inlineStr">
        <is>
          <t>restated</t>
        </is>
      </c>
      <c r="G28" s="11" t="n">
        <v>2875</v>
      </c>
      <c r="H28" s="10" t="inlineStr">
        <is>
          <t>millions</t>
        </is>
      </c>
      <c r="I28" s="10" t="inlineStr">
        <is>
          <t>currency</t>
        </is>
      </c>
      <c r="J28" s="10" t="inlineStr">
        <is>
          <t>ZAR</t>
        </is>
      </c>
      <c r="K28" s="10" t="n">
        <v>20</v>
      </c>
      <c r="L28" s="12" t="n"/>
      <c r="M28" s="10" t="inlineStr">
        <is>
          <t>deferred_tax_assets</t>
        </is>
      </c>
      <c r="N28" s="10" t="inlineStr">
        <is>
          <t>IFRS 17 restatement</t>
        </is>
      </c>
    </row>
    <row r="29">
      <c r="A29" s="10" t="n">
        <v>25</v>
      </c>
      <c r="B29" s="10" t="inlineStr">
        <is>
          <t>balance_sheet</t>
        </is>
      </c>
      <c r="C29" s="10" t="inlineStr">
        <is>
          <t>16</t>
        </is>
      </c>
      <c r="D29" s="10" t="inlineStr">
        <is>
          <t>Trade and other receivables (non-current)</t>
        </is>
      </c>
      <c r="E29" s="10" t="inlineStr">
        <is>
          <t>FY2024</t>
        </is>
      </c>
      <c r="F29" s="10" t="inlineStr">
        <is>
          <t>as_reported</t>
        </is>
      </c>
      <c r="G29" s="11" t="n">
        <v>416</v>
      </c>
      <c r="H29" s="10" t="inlineStr">
        <is>
          <t>millions</t>
        </is>
      </c>
      <c r="I29" s="10" t="inlineStr">
        <is>
          <t>currency</t>
        </is>
      </c>
      <c r="J29" s="10" t="inlineStr">
        <is>
          <t>ZAR</t>
        </is>
      </c>
      <c r="K29" s="10" t="n">
        <v>20</v>
      </c>
      <c r="L29" s="12" t="n"/>
      <c r="M29" s="10" t="inlineStr">
        <is>
          <t>trade_receivables_non_current</t>
        </is>
      </c>
      <c r="N29" s="10" t="inlineStr"/>
    </row>
    <row r="30">
      <c r="A30" s="10" t="n">
        <v>26</v>
      </c>
      <c r="B30" s="10" t="inlineStr">
        <is>
          <t>balance_sheet</t>
        </is>
      </c>
      <c r="C30" s="10" t="inlineStr">
        <is>
          <t>16</t>
        </is>
      </c>
      <c r="D30" s="10" t="inlineStr">
        <is>
          <t>Trade and other receivables (non-current)</t>
        </is>
      </c>
      <c r="E30" s="10" t="inlineStr">
        <is>
          <t>FY2023</t>
        </is>
      </c>
      <c r="F30" s="10" t="inlineStr">
        <is>
          <t>restated</t>
        </is>
      </c>
      <c r="G30" s="11" t="n">
        <v>178</v>
      </c>
      <c r="H30" s="10" t="inlineStr">
        <is>
          <t>millions</t>
        </is>
      </c>
      <c r="I30" s="10" t="inlineStr">
        <is>
          <t>currency</t>
        </is>
      </c>
      <c r="J30" s="10" t="inlineStr">
        <is>
          <t>ZAR</t>
        </is>
      </c>
      <c r="K30" s="10" t="n">
        <v>20</v>
      </c>
      <c r="L30" s="12" t="n"/>
      <c r="M30" s="10" t="inlineStr">
        <is>
          <t>trade_receivables_non_current</t>
        </is>
      </c>
      <c r="N30" s="10" t="inlineStr">
        <is>
          <t>IFRS 17 restatement</t>
        </is>
      </c>
    </row>
    <row r="31">
      <c r="A31" s="10" t="n">
        <v>27</v>
      </c>
      <c r="B31" s="10" t="inlineStr">
        <is>
          <t>balance_sheet</t>
        </is>
      </c>
      <c r="C31" s="10" t="inlineStr"/>
      <c r="D31" s="10" t="inlineStr">
        <is>
          <t>Current assets</t>
        </is>
      </c>
      <c r="E31" s="10" t="inlineStr">
        <is>
          <t>FY2024</t>
        </is>
      </c>
      <c r="F31" s="10" t="inlineStr">
        <is>
          <t>as_reported</t>
        </is>
      </c>
      <c r="G31" s="11" t="n">
        <v>50059</v>
      </c>
      <c r="H31" s="10" t="inlineStr">
        <is>
          <t>millions</t>
        </is>
      </c>
      <c r="I31" s="10" t="inlineStr">
        <is>
          <t>currency</t>
        </is>
      </c>
      <c r="J31" s="10" t="inlineStr">
        <is>
          <t>ZAR</t>
        </is>
      </c>
      <c r="K31" s="10" t="n">
        <v>20</v>
      </c>
      <c r="L31" s="12" t="n"/>
      <c r="M31" s="10" t="inlineStr">
        <is>
          <t>total_current_assets_incl_hfs</t>
        </is>
      </c>
      <c r="N31" s="10" t="inlineStr"/>
    </row>
    <row r="32">
      <c r="A32" s="10" t="n">
        <v>28</v>
      </c>
      <c r="B32" s="10" t="inlineStr">
        <is>
          <t>balance_sheet</t>
        </is>
      </c>
      <c r="C32" s="10" t="inlineStr"/>
      <c r="D32" s="10" t="inlineStr">
        <is>
          <t>Current assets</t>
        </is>
      </c>
      <c r="E32" s="10" t="inlineStr">
        <is>
          <t>FY2023</t>
        </is>
      </c>
      <c r="F32" s="10" t="inlineStr">
        <is>
          <t>restated</t>
        </is>
      </c>
      <c r="G32" s="11" t="n">
        <v>47965</v>
      </c>
      <c r="H32" s="10" t="inlineStr">
        <is>
          <t>millions</t>
        </is>
      </c>
      <c r="I32" s="10" t="inlineStr">
        <is>
          <t>currency</t>
        </is>
      </c>
      <c r="J32" s="10" t="inlineStr">
        <is>
          <t>ZAR</t>
        </is>
      </c>
      <c r="K32" s="10" t="n">
        <v>20</v>
      </c>
      <c r="L32" s="12" t="n"/>
      <c r="M32" s="10" t="inlineStr">
        <is>
          <t>total_current_assets_incl_hfs</t>
        </is>
      </c>
      <c r="N32" s="10" t="inlineStr">
        <is>
          <t>IFRS 17 restatement</t>
        </is>
      </c>
    </row>
    <row r="33">
      <c r="A33" s="10" t="n">
        <v>29</v>
      </c>
      <c r="B33" s="10" t="inlineStr">
        <is>
          <t>balance_sheet</t>
        </is>
      </c>
      <c r="C33" s="10" t="inlineStr">
        <is>
          <t>17</t>
        </is>
      </c>
      <c r="D33" s="10" t="inlineStr">
        <is>
          <t>Inventories</t>
        </is>
      </c>
      <c r="E33" s="10" t="inlineStr">
        <is>
          <t>FY2024</t>
        </is>
      </c>
      <c r="F33" s="10" t="inlineStr">
        <is>
          <t>as_reported</t>
        </is>
      </c>
      <c r="G33" s="11" t="n">
        <v>28366</v>
      </c>
      <c r="H33" s="10" t="inlineStr">
        <is>
          <t>millions</t>
        </is>
      </c>
      <c r="I33" s="10" t="inlineStr">
        <is>
          <t>currency</t>
        </is>
      </c>
      <c r="J33" s="10" t="inlineStr">
        <is>
          <t>ZAR</t>
        </is>
      </c>
      <c r="K33" s="10" t="n">
        <v>20</v>
      </c>
      <c r="L33" s="12" t="n"/>
      <c r="M33" s="10" t="inlineStr">
        <is>
          <t>inventories</t>
        </is>
      </c>
      <c r="N33" s="10" t="inlineStr"/>
    </row>
    <row r="34">
      <c r="A34" s="10" t="n">
        <v>30</v>
      </c>
      <c r="B34" s="10" t="inlineStr">
        <is>
          <t>balance_sheet</t>
        </is>
      </c>
      <c r="C34" s="10" t="inlineStr">
        <is>
          <t>17</t>
        </is>
      </c>
      <c r="D34" s="10" t="inlineStr">
        <is>
          <t>Inventories</t>
        </is>
      </c>
      <c r="E34" s="10" t="inlineStr">
        <is>
          <t>FY2023</t>
        </is>
      </c>
      <c r="F34" s="10" t="inlineStr">
        <is>
          <t>restated</t>
        </is>
      </c>
      <c r="G34" s="11" t="n">
        <v>25090</v>
      </c>
      <c r="H34" s="10" t="inlineStr">
        <is>
          <t>millions</t>
        </is>
      </c>
      <c r="I34" s="10" t="inlineStr">
        <is>
          <t>currency</t>
        </is>
      </c>
      <c r="J34" s="10" t="inlineStr">
        <is>
          <t>ZAR</t>
        </is>
      </c>
      <c r="K34" s="10" t="n">
        <v>20</v>
      </c>
      <c r="L34" s="12" t="n"/>
      <c r="M34" s="10" t="inlineStr">
        <is>
          <t>inventories</t>
        </is>
      </c>
      <c r="N34" s="10" t="inlineStr">
        <is>
          <t>IFRS 17 restatement</t>
        </is>
      </c>
    </row>
    <row r="35">
      <c r="A35" s="10" t="n">
        <v>31</v>
      </c>
      <c r="B35" s="10" t="inlineStr">
        <is>
          <t>balance_sheet</t>
        </is>
      </c>
      <c r="C35" s="10" t="inlineStr">
        <is>
          <t>16</t>
        </is>
      </c>
      <c r="D35" s="10" t="inlineStr">
        <is>
          <t>Trade and other receivables (current)</t>
        </is>
      </c>
      <c r="E35" s="10" t="inlineStr">
        <is>
          <t>FY2024</t>
        </is>
      </c>
      <c r="F35" s="10" t="inlineStr">
        <is>
          <t>as_reported</t>
        </is>
      </c>
      <c r="G35" s="11" t="n">
        <v>6298</v>
      </c>
      <c r="H35" s="10" t="inlineStr">
        <is>
          <t>millions</t>
        </is>
      </c>
      <c r="I35" s="10" t="inlineStr">
        <is>
          <t>currency</t>
        </is>
      </c>
      <c r="J35" s="10" t="inlineStr">
        <is>
          <t>ZAR</t>
        </is>
      </c>
      <c r="K35" s="10" t="n">
        <v>20</v>
      </c>
      <c r="L35" s="12" t="n"/>
      <c r="M35" s="10" t="inlineStr">
        <is>
          <t>trade_receivables_current</t>
        </is>
      </c>
      <c r="N35" s="10" t="inlineStr"/>
    </row>
    <row r="36">
      <c r="A36" s="10" t="n">
        <v>32</v>
      </c>
      <c r="B36" s="10" t="inlineStr">
        <is>
          <t>balance_sheet</t>
        </is>
      </c>
      <c r="C36" s="10" t="inlineStr">
        <is>
          <t>16</t>
        </is>
      </c>
      <c r="D36" s="10" t="inlineStr">
        <is>
          <t>Trade and other receivables (current)</t>
        </is>
      </c>
      <c r="E36" s="10" t="inlineStr">
        <is>
          <t>FY2023</t>
        </is>
      </c>
      <c r="F36" s="10" t="inlineStr">
        <is>
          <t>restated</t>
        </is>
      </c>
      <c r="G36" s="11" t="n">
        <v>5697</v>
      </c>
      <c r="H36" s="10" t="inlineStr">
        <is>
          <t>millions</t>
        </is>
      </c>
      <c r="I36" s="10" t="inlineStr">
        <is>
          <t>currency</t>
        </is>
      </c>
      <c r="J36" s="10" t="inlineStr">
        <is>
          <t>ZAR</t>
        </is>
      </c>
      <c r="K36" s="10" t="n">
        <v>20</v>
      </c>
      <c r="L36" s="12" t="n"/>
      <c r="M36" s="10" t="inlineStr">
        <is>
          <t>trade_receivables_current</t>
        </is>
      </c>
      <c r="N36" s="10" t="inlineStr">
        <is>
          <t>IFRS 17 restatement</t>
        </is>
      </c>
    </row>
    <row r="37">
      <c r="A37" s="10" t="n">
        <v>33</v>
      </c>
      <c r="B37" s="10" t="inlineStr">
        <is>
          <t>balance_sheet</t>
        </is>
      </c>
      <c r="C37" s="10" t="inlineStr"/>
      <c r="D37" s="10" t="inlineStr">
        <is>
          <t>Current income tax assets</t>
        </is>
      </c>
      <c r="E37" s="10" t="inlineStr">
        <is>
          <t>FY2024</t>
        </is>
      </c>
      <c r="F37" s="10" t="inlineStr">
        <is>
          <t>as_reported</t>
        </is>
      </c>
      <c r="G37" s="11" t="n">
        <v>736</v>
      </c>
      <c r="H37" s="10" t="inlineStr">
        <is>
          <t>millions</t>
        </is>
      </c>
      <c r="I37" s="10" t="inlineStr">
        <is>
          <t>currency</t>
        </is>
      </c>
      <c r="J37" s="10" t="inlineStr">
        <is>
          <t>ZAR</t>
        </is>
      </c>
      <c r="K37" s="10" t="n">
        <v>20</v>
      </c>
      <c r="L37" s="12" t="n"/>
      <c r="M37" s="10" t="inlineStr">
        <is>
          <t>current_tax_assets</t>
        </is>
      </c>
      <c r="N37" s="10" t="inlineStr"/>
    </row>
    <row r="38">
      <c r="A38" s="10" t="n">
        <v>34</v>
      </c>
      <c r="B38" s="10" t="inlineStr">
        <is>
          <t>balance_sheet</t>
        </is>
      </c>
      <c r="C38" s="10" t="inlineStr"/>
      <c r="D38" s="10" t="inlineStr">
        <is>
          <t>Current income tax assets</t>
        </is>
      </c>
      <c r="E38" s="10" t="inlineStr">
        <is>
          <t>FY2023</t>
        </is>
      </c>
      <c r="F38" s="10" t="inlineStr">
        <is>
          <t>restated</t>
        </is>
      </c>
      <c r="G38" s="11" t="n">
        <v>441</v>
      </c>
      <c r="H38" s="10" t="inlineStr">
        <is>
          <t>millions</t>
        </is>
      </c>
      <c r="I38" s="10" t="inlineStr">
        <is>
          <t>currency</t>
        </is>
      </c>
      <c r="J38" s="10" t="inlineStr">
        <is>
          <t>ZAR</t>
        </is>
      </c>
      <c r="K38" s="10" t="n">
        <v>20</v>
      </c>
      <c r="L38" s="12" t="n"/>
      <c r="M38" s="10" t="inlineStr">
        <is>
          <t>current_tax_assets</t>
        </is>
      </c>
      <c r="N38" s="10" t="inlineStr">
        <is>
          <t>IFRS 17 restatement</t>
        </is>
      </c>
    </row>
    <row r="39">
      <c r="A39" s="10" t="n">
        <v>35</v>
      </c>
      <c r="B39" s="10" t="inlineStr">
        <is>
          <t>balance_sheet</t>
        </is>
      </c>
      <c r="C39" s="10" t="inlineStr">
        <is>
          <t>12</t>
        </is>
      </c>
      <c r="D39" s="10" t="inlineStr">
        <is>
          <t>Investment in insurance cell captive arrangements (current)</t>
        </is>
      </c>
      <c r="E39" s="10" t="inlineStr">
        <is>
          <t>FY2024</t>
        </is>
      </c>
      <c r="F39" s="10" t="inlineStr">
        <is>
          <t>as_reported</t>
        </is>
      </c>
      <c r="G39" s="11" t="n">
        <v>402</v>
      </c>
      <c r="H39" s="10" t="inlineStr">
        <is>
          <t>millions</t>
        </is>
      </c>
      <c r="I39" s="10" t="inlineStr">
        <is>
          <t>currency</t>
        </is>
      </c>
      <c r="J39" s="10" t="inlineStr">
        <is>
          <t>ZAR</t>
        </is>
      </c>
      <c r="K39" s="10" t="n">
        <v>20</v>
      </c>
      <c r="L39" s="12" t="n"/>
      <c r="M39" s="10" t="inlineStr">
        <is>
          <t>insurance_cell_captive_current</t>
        </is>
      </c>
      <c r="N39" s="10" t="inlineStr"/>
    </row>
    <row r="40">
      <c r="A40" s="10" t="n">
        <v>36</v>
      </c>
      <c r="B40" s="10" t="inlineStr">
        <is>
          <t>balance_sheet</t>
        </is>
      </c>
      <c r="C40" s="10" t="inlineStr">
        <is>
          <t>12</t>
        </is>
      </c>
      <c r="D40" s="10" t="inlineStr">
        <is>
          <t>Investment in insurance cell captive arrangements (current)</t>
        </is>
      </c>
      <c r="E40" s="10" t="inlineStr">
        <is>
          <t>FY2023</t>
        </is>
      </c>
      <c r="F40" s="10" t="inlineStr">
        <is>
          <t>restated</t>
        </is>
      </c>
      <c r="G40" s="11" t="n">
        <v>383</v>
      </c>
      <c r="H40" s="10" t="inlineStr">
        <is>
          <t>millions</t>
        </is>
      </c>
      <c r="I40" s="10" t="inlineStr">
        <is>
          <t>currency</t>
        </is>
      </c>
      <c r="J40" s="10" t="inlineStr">
        <is>
          <t>ZAR</t>
        </is>
      </c>
      <c r="K40" s="10" t="n">
        <v>20</v>
      </c>
      <c r="L40" s="12" t="n"/>
      <c r="M40" s="10" t="inlineStr">
        <is>
          <t>insurance_cell_captive_current</t>
        </is>
      </c>
      <c r="N40" s="10" t="inlineStr">
        <is>
          <t>IFRS 17 restatement</t>
        </is>
      </c>
    </row>
    <row r="41">
      <c r="A41" s="10" t="n">
        <v>37</v>
      </c>
      <c r="B41" s="10" t="inlineStr">
        <is>
          <t>balance_sheet</t>
        </is>
      </c>
      <c r="C41" s="10" t="inlineStr">
        <is>
          <t>13</t>
        </is>
      </c>
      <c r="D41" s="10" t="inlineStr">
        <is>
          <t>Government bonds and bills (current)</t>
        </is>
      </c>
      <c r="E41" s="10" t="inlineStr">
        <is>
          <t>FY2024</t>
        </is>
      </c>
      <c r="F41" s="10" t="inlineStr">
        <is>
          <t>as_reported</t>
        </is>
      </c>
      <c r="G41" s="11" t="n">
        <v>886</v>
      </c>
      <c r="H41" s="10" t="inlineStr">
        <is>
          <t>millions</t>
        </is>
      </c>
      <c r="I41" s="10" t="inlineStr">
        <is>
          <t>currency</t>
        </is>
      </c>
      <c r="J41" s="10" t="inlineStr">
        <is>
          <t>ZAR</t>
        </is>
      </c>
      <c r="K41" s="10" t="n">
        <v>20</v>
      </c>
      <c r="L41" s="12" t="n"/>
      <c r="M41" s="10" t="inlineStr">
        <is>
          <t>government_bonds_current</t>
        </is>
      </c>
      <c r="N41" s="10" t="inlineStr"/>
    </row>
    <row r="42">
      <c r="A42" s="10" t="n">
        <v>38</v>
      </c>
      <c r="B42" s="10" t="inlineStr">
        <is>
          <t>balance_sheet</t>
        </is>
      </c>
      <c r="C42" s="10" t="inlineStr">
        <is>
          <t>13</t>
        </is>
      </c>
      <c r="D42" s="10" t="inlineStr">
        <is>
          <t>Government bonds and bills (current)</t>
        </is>
      </c>
      <c r="E42" s="10" t="inlineStr">
        <is>
          <t>FY2023</t>
        </is>
      </c>
      <c r="F42" s="10" t="inlineStr">
        <is>
          <t>restated</t>
        </is>
      </c>
      <c r="G42" s="11" t="n">
        <v>421</v>
      </c>
      <c r="H42" s="10" t="inlineStr">
        <is>
          <t>millions</t>
        </is>
      </c>
      <c r="I42" s="10" t="inlineStr">
        <is>
          <t>currency</t>
        </is>
      </c>
      <c r="J42" s="10" t="inlineStr">
        <is>
          <t>ZAR</t>
        </is>
      </c>
      <c r="K42" s="10" t="n">
        <v>20</v>
      </c>
      <c r="L42" s="12" t="n"/>
      <c r="M42" s="10" t="inlineStr">
        <is>
          <t>government_bonds_current</t>
        </is>
      </c>
      <c r="N42" s="10" t="inlineStr">
        <is>
          <t>IFRS 17 restatement</t>
        </is>
      </c>
    </row>
    <row r="43">
      <c r="A43" s="10" t="n">
        <v>39</v>
      </c>
      <c r="B43" s="10" t="inlineStr">
        <is>
          <t>balance_sheet</t>
        </is>
      </c>
      <c r="C43" s="10" t="inlineStr">
        <is>
          <t>14</t>
        </is>
      </c>
      <c r="D43" s="10" t="inlineStr">
        <is>
          <t>Loans receivable (current)</t>
        </is>
      </c>
      <c r="E43" s="10" t="inlineStr">
        <is>
          <t>FY2024</t>
        </is>
      </c>
      <c r="F43" s="10" t="inlineStr">
        <is>
          <t>as_reported</t>
        </is>
      </c>
      <c r="G43" s="11" t="n">
        <v>680</v>
      </c>
      <c r="H43" s="10" t="inlineStr">
        <is>
          <t>millions</t>
        </is>
      </c>
      <c r="I43" s="10" t="inlineStr">
        <is>
          <t>currency</t>
        </is>
      </c>
      <c r="J43" s="10" t="inlineStr">
        <is>
          <t>ZAR</t>
        </is>
      </c>
      <c r="K43" s="10" t="n">
        <v>20</v>
      </c>
      <c r="L43" s="12" t="n"/>
      <c r="M43" s="10" t="inlineStr">
        <is>
          <t>loans_receivable_current</t>
        </is>
      </c>
      <c r="N43" s="10" t="inlineStr"/>
    </row>
    <row r="44">
      <c r="A44" s="10" t="n">
        <v>40</v>
      </c>
      <c r="B44" s="10" t="inlineStr">
        <is>
          <t>balance_sheet</t>
        </is>
      </c>
      <c r="C44" s="10" t="inlineStr">
        <is>
          <t>14</t>
        </is>
      </c>
      <c r="D44" s="10" t="inlineStr">
        <is>
          <t>Loans receivable (current)</t>
        </is>
      </c>
      <c r="E44" s="10" t="inlineStr">
        <is>
          <t>FY2023</t>
        </is>
      </c>
      <c r="F44" s="10" t="inlineStr">
        <is>
          <t>restated</t>
        </is>
      </c>
      <c r="G44" s="11" t="n">
        <v>1346</v>
      </c>
      <c r="H44" s="10" t="inlineStr">
        <is>
          <t>millions</t>
        </is>
      </c>
      <c r="I44" s="10" t="inlineStr">
        <is>
          <t>currency</t>
        </is>
      </c>
      <c r="J44" s="10" t="inlineStr">
        <is>
          <t>ZAR</t>
        </is>
      </c>
      <c r="K44" s="10" t="n">
        <v>20</v>
      </c>
      <c r="L44" s="12" t="n"/>
      <c r="M44" s="10" t="inlineStr">
        <is>
          <t>loans_receivable_current</t>
        </is>
      </c>
      <c r="N44" s="10" t="inlineStr">
        <is>
          <t>IFRS 17 restatement</t>
        </is>
      </c>
    </row>
    <row r="45">
      <c r="A45" s="10" t="n">
        <v>41</v>
      </c>
      <c r="B45" s="10" t="inlineStr">
        <is>
          <t>balance_sheet</t>
        </is>
      </c>
      <c r="C45" s="10" t="inlineStr"/>
      <c r="D45" s="10" t="inlineStr">
        <is>
          <t>Restricted cash</t>
        </is>
      </c>
      <c r="E45" s="10" t="inlineStr">
        <is>
          <t>FY2024</t>
        </is>
      </c>
      <c r="F45" s="10" t="inlineStr">
        <is>
          <t>as_reported</t>
        </is>
      </c>
      <c r="G45" s="11" t="n">
        <v>3</v>
      </c>
      <c r="H45" s="10" t="inlineStr">
        <is>
          <t>millions</t>
        </is>
      </c>
      <c r="I45" s="10" t="inlineStr">
        <is>
          <t>currency</t>
        </is>
      </c>
      <c r="J45" s="10" t="inlineStr">
        <is>
          <t>ZAR</t>
        </is>
      </c>
      <c r="K45" s="10" t="n">
        <v>20</v>
      </c>
      <c r="L45" s="12" t="n"/>
      <c r="M45" s="10" t="inlineStr">
        <is>
          <t>restricted_cash</t>
        </is>
      </c>
      <c r="N45" s="10" t="inlineStr"/>
    </row>
    <row r="46">
      <c r="A46" s="10" t="n">
        <v>42</v>
      </c>
      <c r="B46" s="10" t="inlineStr">
        <is>
          <t>balance_sheet</t>
        </is>
      </c>
      <c r="C46" s="10" t="inlineStr"/>
      <c r="D46" s="10" t="inlineStr">
        <is>
          <t>Restricted cash</t>
        </is>
      </c>
      <c r="E46" s="10" t="inlineStr">
        <is>
          <t>FY2023</t>
        </is>
      </c>
      <c r="F46" s="10" t="inlineStr">
        <is>
          <t>restated</t>
        </is>
      </c>
      <c r="G46" s="11" t="n">
        <v>650</v>
      </c>
      <c r="H46" s="10" t="inlineStr">
        <is>
          <t>millions</t>
        </is>
      </c>
      <c r="I46" s="10" t="inlineStr">
        <is>
          <t>currency</t>
        </is>
      </c>
      <c r="J46" s="10" t="inlineStr">
        <is>
          <t>ZAR</t>
        </is>
      </c>
      <c r="K46" s="10" t="n">
        <v>20</v>
      </c>
      <c r="L46" s="12" t="n"/>
      <c r="M46" s="10" t="inlineStr">
        <is>
          <t>restricted_cash</t>
        </is>
      </c>
      <c r="N46" s="10" t="inlineStr">
        <is>
          <t>IFRS 17 restatement</t>
        </is>
      </c>
    </row>
    <row r="47">
      <c r="A47" s="10" t="n">
        <v>43</v>
      </c>
      <c r="B47" s="10" t="inlineStr">
        <is>
          <t>balance_sheet</t>
        </is>
      </c>
      <c r="C47" s="10" t="inlineStr"/>
      <c r="D47" s="10" t="inlineStr">
        <is>
          <t>Cash and cash equivalents</t>
        </is>
      </c>
      <c r="E47" s="10" t="inlineStr">
        <is>
          <t>FY2024</t>
        </is>
      </c>
      <c r="F47" s="10" t="inlineStr">
        <is>
          <t>as_reported</t>
        </is>
      </c>
      <c r="G47" s="11" t="n">
        <v>11732</v>
      </c>
      <c r="H47" s="10" t="inlineStr">
        <is>
          <t>millions</t>
        </is>
      </c>
      <c r="I47" s="10" t="inlineStr">
        <is>
          <t>currency</t>
        </is>
      </c>
      <c r="J47" s="10" t="inlineStr">
        <is>
          <t>ZAR</t>
        </is>
      </c>
      <c r="K47" s="10" t="n">
        <v>20</v>
      </c>
      <c r="L47" s="12" t="n"/>
      <c r="M47" s="10" t="inlineStr">
        <is>
          <t>cash_and_equivalents</t>
        </is>
      </c>
      <c r="N47" s="10" t="inlineStr"/>
    </row>
    <row r="48">
      <c r="A48" s="10" t="n">
        <v>44</v>
      </c>
      <c r="B48" s="10" t="inlineStr">
        <is>
          <t>balance_sheet</t>
        </is>
      </c>
      <c r="C48" s="10" t="inlineStr"/>
      <c r="D48" s="10" t="inlineStr">
        <is>
          <t>Cash and cash equivalents</t>
        </is>
      </c>
      <c r="E48" s="10" t="inlineStr">
        <is>
          <t>FY2023</t>
        </is>
      </c>
      <c r="F48" s="10" t="inlineStr">
        <is>
          <t>restated</t>
        </is>
      </c>
      <c r="G48" s="11" t="n">
        <v>12548</v>
      </c>
      <c r="H48" s="10" t="inlineStr">
        <is>
          <t>millions</t>
        </is>
      </c>
      <c r="I48" s="10" t="inlineStr">
        <is>
          <t>currency</t>
        </is>
      </c>
      <c r="J48" s="10" t="inlineStr">
        <is>
          <t>ZAR</t>
        </is>
      </c>
      <c r="K48" s="10" t="n">
        <v>20</v>
      </c>
      <c r="L48" s="12" t="n"/>
      <c r="M48" s="10" t="inlineStr">
        <is>
          <t>cash_and_equivalents</t>
        </is>
      </c>
      <c r="N48" s="10" t="inlineStr">
        <is>
          <t>IFRS 17 restatement</t>
        </is>
      </c>
    </row>
    <row r="49">
      <c r="A49" s="10" t="n">
        <v>45</v>
      </c>
      <c r="B49" s="10" t="inlineStr">
        <is>
          <t>balance_sheet</t>
        </is>
      </c>
      <c r="C49" s="10" t="inlineStr"/>
      <c r="D49" s="10" t="inlineStr">
        <is>
          <t>[unlabelled subtotal] current assets excluding held for sale</t>
        </is>
      </c>
      <c r="E49" s="10" t="inlineStr">
        <is>
          <t>FY2024</t>
        </is>
      </c>
      <c r="F49" s="10" t="inlineStr">
        <is>
          <t>as_reported</t>
        </is>
      </c>
      <c r="G49" s="11" t="n">
        <v>49103</v>
      </c>
      <c r="H49" s="10" t="inlineStr">
        <is>
          <t>millions</t>
        </is>
      </c>
      <c r="I49" s="10" t="inlineStr">
        <is>
          <t>currency</t>
        </is>
      </c>
      <c r="J49" s="10" t="inlineStr">
        <is>
          <t>ZAR</t>
        </is>
      </c>
      <c r="K49" s="10" t="n">
        <v>20</v>
      </c>
      <c r="L49" s="12" t="n"/>
      <c r="M49" s="10" t="inlineStr">
        <is>
          <t>current_assets_excl_hfs</t>
        </is>
      </c>
      <c r="N49" s="10" t="inlineStr">
        <is>
          <t>UNLABELLED in the source - label synthesised</t>
        </is>
      </c>
    </row>
    <row r="50">
      <c r="A50" s="10" t="n">
        <v>46</v>
      </c>
      <c r="B50" s="10" t="inlineStr">
        <is>
          <t>balance_sheet</t>
        </is>
      </c>
      <c r="C50" s="10" t="inlineStr"/>
      <c r="D50" s="10" t="inlineStr">
        <is>
          <t>[unlabelled subtotal] current assets excluding held for sale</t>
        </is>
      </c>
      <c r="E50" s="10" t="inlineStr">
        <is>
          <t>FY2023</t>
        </is>
      </c>
      <c r="F50" s="10" t="inlineStr">
        <is>
          <t>restated</t>
        </is>
      </c>
      <c r="G50" s="11" t="n">
        <v>46576</v>
      </c>
      <c r="H50" s="10" t="inlineStr">
        <is>
          <t>millions</t>
        </is>
      </c>
      <c r="I50" s="10" t="inlineStr">
        <is>
          <t>currency</t>
        </is>
      </c>
      <c r="J50" s="10" t="inlineStr">
        <is>
          <t>ZAR</t>
        </is>
      </c>
      <c r="K50" s="10" t="n">
        <v>20</v>
      </c>
      <c r="L50" s="12" t="n"/>
      <c r="M50" s="10" t="inlineStr">
        <is>
          <t>current_assets_excl_hfs</t>
        </is>
      </c>
      <c r="N50" s="10" t="inlineStr">
        <is>
          <t>IFRS 17 restatement</t>
        </is>
      </c>
    </row>
    <row r="51">
      <c r="A51" s="10" t="n">
        <v>47</v>
      </c>
      <c r="B51" s="10" t="inlineStr">
        <is>
          <t>balance_sheet</t>
        </is>
      </c>
      <c r="C51" s="10" t="inlineStr">
        <is>
          <t>4</t>
        </is>
      </c>
      <c r="D51" s="10" t="inlineStr">
        <is>
          <t>Assets classified as held for sale</t>
        </is>
      </c>
      <c r="E51" s="10" t="inlineStr">
        <is>
          <t>FY2024</t>
        </is>
      </c>
      <c r="F51" s="10" t="inlineStr">
        <is>
          <t>as_reported</t>
        </is>
      </c>
      <c r="G51" s="11" t="n">
        <v>956</v>
      </c>
      <c r="H51" s="10" t="inlineStr">
        <is>
          <t>millions</t>
        </is>
      </c>
      <c r="I51" s="10" t="inlineStr">
        <is>
          <t>currency</t>
        </is>
      </c>
      <c r="J51" s="10" t="inlineStr">
        <is>
          <t>ZAR</t>
        </is>
      </c>
      <c r="K51" s="10" t="n">
        <v>20</v>
      </c>
      <c r="L51" s="12" t="n"/>
      <c r="M51" s="10" t="inlineStr">
        <is>
          <t>assets_held_for_sale</t>
        </is>
      </c>
      <c r="N51" s="10" t="inlineStr"/>
    </row>
    <row r="52">
      <c r="A52" s="10" t="n">
        <v>48</v>
      </c>
      <c r="B52" s="10" t="inlineStr">
        <is>
          <t>balance_sheet</t>
        </is>
      </c>
      <c r="C52" s="10" t="inlineStr">
        <is>
          <t>4</t>
        </is>
      </c>
      <c r="D52" s="10" t="inlineStr">
        <is>
          <t>Assets classified as held for sale</t>
        </is>
      </c>
      <c r="E52" s="10" t="inlineStr">
        <is>
          <t>FY2023</t>
        </is>
      </c>
      <c r="F52" s="10" t="inlineStr">
        <is>
          <t>restated</t>
        </is>
      </c>
      <c r="G52" s="11" t="n">
        <v>1389</v>
      </c>
      <c r="H52" s="10" t="inlineStr">
        <is>
          <t>millions</t>
        </is>
      </c>
      <c r="I52" s="10" t="inlineStr">
        <is>
          <t>currency</t>
        </is>
      </c>
      <c r="J52" s="10" t="inlineStr">
        <is>
          <t>ZAR</t>
        </is>
      </c>
      <c r="K52" s="10" t="n">
        <v>20</v>
      </c>
      <c r="L52" s="12" t="n"/>
      <c r="M52" s="10" t="inlineStr">
        <is>
          <t>assets_held_for_sale</t>
        </is>
      </c>
      <c r="N52" s="10" t="inlineStr">
        <is>
          <t>IFRS 17 restatement</t>
        </is>
      </c>
    </row>
    <row r="53">
      <c r="A53" s="10" t="n">
        <v>49</v>
      </c>
      <c r="B53" s="10" t="inlineStr">
        <is>
          <t>balance_sheet</t>
        </is>
      </c>
      <c r="C53" s="10" t="inlineStr"/>
      <c r="D53" s="10" t="inlineStr">
        <is>
          <t>Total assets</t>
        </is>
      </c>
      <c r="E53" s="10" t="inlineStr">
        <is>
          <t>FY2024</t>
        </is>
      </c>
      <c r="F53" s="10" t="inlineStr">
        <is>
          <t>as_reported</t>
        </is>
      </c>
      <c r="G53" s="11" t="n">
        <v>112328</v>
      </c>
      <c r="H53" s="10" t="inlineStr">
        <is>
          <t>millions</t>
        </is>
      </c>
      <c r="I53" s="10" t="inlineStr">
        <is>
          <t>currency</t>
        </is>
      </c>
      <c r="J53" s="10" t="inlineStr">
        <is>
          <t>ZAR</t>
        </is>
      </c>
      <c r="K53" s="10" t="n">
        <v>20</v>
      </c>
      <c r="L53" s="12" t="n"/>
      <c r="M53" s="10" t="inlineStr">
        <is>
          <t>total_assets</t>
        </is>
      </c>
      <c r="N53" s="10" t="inlineStr"/>
    </row>
    <row r="54">
      <c r="A54" s="10" t="n">
        <v>50</v>
      </c>
      <c r="B54" s="10" t="inlineStr">
        <is>
          <t>balance_sheet</t>
        </is>
      </c>
      <c r="C54" s="10" t="inlineStr"/>
      <c r="D54" s="10" t="inlineStr">
        <is>
          <t>Total assets</t>
        </is>
      </c>
      <c r="E54" s="10" t="inlineStr">
        <is>
          <t>FY2023</t>
        </is>
      </c>
      <c r="F54" s="10" t="inlineStr">
        <is>
          <t>restated</t>
        </is>
      </c>
      <c r="G54" s="11" t="n">
        <v>102450</v>
      </c>
      <c r="H54" s="10" t="inlineStr">
        <is>
          <t>millions</t>
        </is>
      </c>
      <c r="I54" s="10" t="inlineStr">
        <is>
          <t>currency</t>
        </is>
      </c>
      <c r="J54" s="10" t="inlineStr">
        <is>
          <t>ZAR</t>
        </is>
      </c>
      <c r="K54" s="10" t="n">
        <v>20</v>
      </c>
      <c r="L54" s="12" t="n"/>
      <c r="M54" s="10" t="inlineStr">
        <is>
          <t>total_assets</t>
        </is>
      </c>
      <c r="N54" s="10" t="inlineStr">
        <is>
          <t>IFRS 17 restatement</t>
        </is>
      </c>
    </row>
    <row r="55">
      <c r="A55" s="10" t="n">
        <v>51</v>
      </c>
      <c r="B55" s="10" t="inlineStr">
        <is>
          <t>balance_sheet</t>
        </is>
      </c>
      <c r="C55" s="10" t="inlineStr">
        <is>
          <t>18</t>
        </is>
      </c>
      <c r="D55" s="10" t="inlineStr">
        <is>
          <t>Stated capital</t>
        </is>
      </c>
      <c r="E55" s="10" t="inlineStr">
        <is>
          <t>FY2024</t>
        </is>
      </c>
      <c r="F55" s="10" t="inlineStr">
        <is>
          <t>as_reported</t>
        </is>
      </c>
      <c r="G55" s="11" t="n">
        <v>7516</v>
      </c>
      <c r="H55" s="10" t="inlineStr">
        <is>
          <t>millions</t>
        </is>
      </c>
      <c r="I55" s="10" t="inlineStr">
        <is>
          <t>currency</t>
        </is>
      </c>
      <c r="J55" s="10" t="inlineStr">
        <is>
          <t>ZAR</t>
        </is>
      </c>
      <c r="K55" s="10" t="n">
        <v>20</v>
      </c>
      <c r="L55" s="12" t="n"/>
      <c r="M55" s="10" t="inlineStr">
        <is>
          <t>stated_capital</t>
        </is>
      </c>
      <c r="N55" s="10" t="inlineStr"/>
    </row>
    <row r="56">
      <c r="A56" s="10" t="n">
        <v>52</v>
      </c>
      <c r="B56" s="10" t="inlineStr">
        <is>
          <t>balance_sheet</t>
        </is>
      </c>
      <c r="C56" s="10" t="inlineStr">
        <is>
          <t>18</t>
        </is>
      </c>
      <c r="D56" s="10" t="inlineStr">
        <is>
          <t>Stated capital</t>
        </is>
      </c>
      <c r="E56" s="10" t="inlineStr">
        <is>
          <t>FY2023</t>
        </is>
      </c>
      <c r="F56" s="10" t="inlineStr">
        <is>
          <t>restated</t>
        </is>
      </c>
      <c r="G56" s="11" t="n">
        <v>7516</v>
      </c>
      <c r="H56" s="10" t="inlineStr">
        <is>
          <t>millions</t>
        </is>
      </c>
      <c r="I56" s="10" t="inlineStr">
        <is>
          <t>currency</t>
        </is>
      </c>
      <c r="J56" s="10" t="inlineStr">
        <is>
          <t>ZAR</t>
        </is>
      </c>
      <c r="K56" s="10" t="n">
        <v>20</v>
      </c>
      <c r="L56" s="12" t="n"/>
      <c r="M56" s="10" t="inlineStr">
        <is>
          <t>stated_capital</t>
        </is>
      </c>
      <c r="N56" s="10" t="inlineStr">
        <is>
          <t>IFRS 17 restatement</t>
        </is>
      </c>
    </row>
    <row r="57">
      <c r="A57" s="10" t="n">
        <v>53</v>
      </c>
      <c r="B57" s="10" t="inlineStr">
        <is>
          <t>balance_sheet</t>
        </is>
      </c>
      <c r="C57" s="10" t="inlineStr">
        <is>
          <t>18</t>
        </is>
      </c>
      <c r="D57" s="10" t="inlineStr">
        <is>
          <t>Treasury shares</t>
        </is>
      </c>
      <c r="E57" s="10" t="inlineStr">
        <is>
          <t>FY2024</t>
        </is>
      </c>
      <c r="F57" s="10" t="inlineStr">
        <is>
          <t>as_reported</t>
        </is>
      </c>
      <c r="G57" s="11" t="n">
        <v>-2616</v>
      </c>
      <c r="H57" s="10" t="inlineStr">
        <is>
          <t>millions</t>
        </is>
      </c>
      <c r="I57" s="10" t="inlineStr">
        <is>
          <t>currency</t>
        </is>
      </c>
      <c r="J57" s="10" t="inlineStr">
        <is>
          <t>ZAR</t>
        </is>
      </c>
      <c r="K57" s="10" t="n">
        <v>20</v>
      </c>
      <c r="L57" s="12" t="n"/>
      <c r="M57" s="10" t="inlineStr">
        <is>
          <t>treasury_shares</t>
        </is>
      </c>
      <c r="N57" s="10" t="inlineStr"/>
    </row>
    <row r="58">
      <c r="A58" s="10" t="n">
        <v>54</v>
      </c>
      <c r="B58" s="10" t="inlineStr">
        <is>
          <t>balance_sheet</t>
        </is>
      </c>
      <c r="C58" s="10" t="inlineStr">
        <is>
          <t>18</t>
        </is>
      </c>
      <c r="D58" s="10" t="inlineStr">
        <is>
          <t>Treasury shares</t>
        </is>
      </c>
      <c r="E58" s="10" t="inlineStr">
        <is>
          <t>FY2023</t>
        </is>
      </c>
      <c r="F58" s="10" t="inlineStr">
        <is>
          <t>restated</t>
        </is>
      </c>
      <c r="G58" s="11" t="n">
        <v>-2624</v>
      </c>
      <c r="H58" s="10" t="inlineStr">
        <is>
          <t>millions</t>
        </is>
      </c>
      <c r="I58" s="10" t="inlineStr">
        <is>
          <t>currency</t>
        </is>
      </c>
      <c r="J58" s="10" t="inlineStr">
        <is>
          <t>ZAR</t>
        </is>
      </c>
      <c r="K58" s="10" t="n">
        <v>20</v>
      </c>
      <c r="L58" s="12" t="n"/>
      <c r="M58" s="10" t="inlineStr">
        <is>
          <t>treasury_shares</t>
        </is>
      </c>
      <c r="N58" s="10" t="inlineStr">
        <is>
          <t>IFRS 17 restatement</t>
        </is>
      </c>
    </row>
    <row r="59">
      <c r="A59" s="10" t="n">
        <v>55</v>
      </c>
      <c r="B59" s="10" t="inlineStr">
        <is>
          <t>balance_sheet</t>
        </is>
      </c>
      <c r="C59" s="10" t="inlineStr">
        <is>
          <t>20</t>
        </is>
      </c>
      <c r="D59" s="10" t="inlineStr">
        <is>
          <t>Reserves</t>
        </is>
      </c>
      <c r="E59" s="10" t="inlineStr">
        <is>
          <t>FY2024</t>
        </is>
      </c>
      <c r="F59" s="10" t="inlineStr">
        <is>
          <t>as_reported</t>
        </is>
      </c>
      <c r="G59" s="11" t="n">
        <v>22891</v>
      </c>
      <c r="H59" s="10" t="inlineStr">
        <is>
          <t>millions</t>
        </is>
      </c>
      <c r="I59" s="10" t="inlineStr">
        <is>
          <t>currency</t>
        </is>
      </c>
      <c r="J59" s="10" t="inlineStr">
        <is>
          <t>ZAR</t>
        </is>
      </c>
      <c r="K59" s="10" t="n">
        <v>20</v>
      </c>
      <c r="L59" s="12" t="n"/>
      <c r="M59" s="10" t="inlineStr">
        <is>
          <t>reserves</t>
        </is>
      </c>
      <c r="N59" s="10" t="inlineStr"/>
    </row>
    <row r="60">
      <c r="A60" s="10" t="n">
        <v>56</v>
      </c>
      <c r="B60" s="10" t="inlineStr">
        <is>
          <t>balance_sheet</t>
        </is>
      </c>
      <c r="C60" s="10" t="inlineStr">
        <is>
          <t>20</t>
        </is>
      </c>
      <c r="D60" s="10" t="inlineStr">
        <is>
          <t>Reserves</t>
        </is>
      </c>
      <c r="E60" s="10" t="inlineStr">
        <is>
          <t>FY2023</t>
        </is>
      </c>
      <c r="F60" s="10" t="inlineStr">
        <is>
          <t>restated</t>
        </is>
      </c>
      <c r="G60" s="11" t="n">
        <v>21238</v>
      </c>
      <c r="H60" s="10" t="inlineStr">
        <is>
          <t>millions</t>
        </is>
      </c>
      <c r="I60" s="10" t="inlineStr">
        <is>
          <t>currency</t>
        </is>
      </c>
      <c r="J60" s="10" t="inlineStr">
        <is>
          <t>ZAR</t>
        </is>
      </c>
      <c r="K60" s="10" t="n">
        <v>20</v>
      </c>
      <c r="L60" s="12" t="n"/>
      <c r="M60" s="10" t="inlineStr">
        <is>
          <t>reserves</t>
        </is>
      </c>
      <c r="N60" s="10" t="inlineStr">
        <is>
          <t>IFRS 17 restatement</t>
        </is>
      </c>
    </row>
    <row r="61">
      <c r="A61" s="10" t="n">
        <v>57</v>
      </c>
      <c r="B61" s="10" t="inlineStr">
        <is>
          <t>balance_sheet</t>
        </is>
      </c>
      <c r="C61" s="10" t="inlineStr"/>
      <c r="D61" s="10" t="inlineStr">
        <is>
          <t>[unlabelled subtotal] attributable to owners of the parent</t>
        </is>
      </c>
      <c r="E61" s="10" t="inlineStr">
        <is>
          <t>FY2024</t>
        </is>
      </c>
      <c r="F61" s="10" t="inlineStr">
        <is>
          <t>as_reported</t>
        </is>
      </c>
      <c r="G61" s="11" t="n">
        <v>27791</v>
      </c>
      <c r="H61" s="10" t="inlineStr">
        <is>
          <t>millions</t>
        </is>
      </c>
      <c r="I61" s="10" t="inlineStr">
        <is>
          <t>currency</t>
        </is>
      </c>
      <c r="J61" s="10" t="inlineStr">
        <is>
          <t>ZAR</t>
        </is>
      </c>
      <c r="K61" s="10" t="n">
        <v>20</v>
      </c>
      <c r="L61" s="12" t="n"/>
      <c r="M61" s="10" t="inlineStr">
        <is>
          <t>equity_attributable_owners</t>
        </is>
      </c>
      <c r="N61" s="10" t="inlineStr">
        <is>
          <t>UNLABELLED in the source - label synthesised</t>
        </is>
      </c>
    </row>
    <row r="62">
      <c r="A62" s="10" t="n">
        <v>58</v>
      </c>
      <c r="B62" s="10" t="inlineStr">
        <is>
          <t>balance_sheet</t>
        </is>
      </c>
      <c r="C62" s="10" t="inlineStr"/>
      <c r="D62" s="10" t="inlineStr">
        <is>
          <t>[unlabelled subtotal] attributable to owners of the parent</t>
        </is>
      </c>
      <c r="E62" s="10" t="inlineStr">
        <is>
          <t>FY2023</t>
        </is>
      </c>
      <c r="F62" s="10" t="inlineStr">
        <is>
          <t>restated</t>
        </is>
      </c>
      <c r="G62" s="11" t="n">
        <v>26130</v>
      </c>
      <c r="H62" s="10" t="inlineStr">
        <is>
          <t>millions</t>
        </is>
      </c>
      <c r="I62" s="10" t="inlineStr">
        <is>
          <t>currency</t>
        </is>
      </c>
      <c r="J62" s="10" t="inlineStr">
        <is>
          <t>ZAR</t>
        </is>
      </c>
      <c r="K62" s="10" t="n">
        <v>20</v>
      </c>
      <c r="L62" s="12" t="n"/>
      <c r="M62" s="10" t="inlineStr">
        <is>
          <t>equity_attributable_owners</t>
        </is>
      </c>
      <c r="N62" s="10" t="inlineStr">
        <is>
          <t>IFRS 17 restatement</t>
        </is>
      </c>
    </row>
    <row r="63">
      <c r="A63" s="10" t="n">
        <v>59</v>
      </c>
      <c r="B63" s="10" t="inlineStr">
        <is>
          <t>balance_sheet</t>
        </is>
      </c>
      <c r="C63" s="10" t="inlineStr"/>
      <c r="D63" s="10" t="inlineStr">
        <is>
          <t>Non-controlling interest</t>
        </is>
      </c>
      <c r="E63" s="10" t="inlineStr">
        <is>
          <t>FY2024</t>
        </is>
      </c>
      <c r="F63" s="10" t="inlineStr">
        <is>
          <t>as_reported</t>
        </is>
      </c>
      <c r="G63" s="11" t="n">
        <v>-67</v>
      </c>
      <c r="H63" s="10" t="inlineStr">
        <is>
          <t>millions</t>
        </is>
      </c>
      <c r="I63" s="10" t="inlineStr">
        <is>
          <t>currency</t>
        </is>
      </c>
      <c r="J63" s="10" t="inlineStr">
        <is>
          <t>ZAR</t>
        </is>
      </c>
      <c r="K63" s="10" t="n">
        <v>20</v>
      </c>
      <c r="L63" s="12" t="n"/>
      <c r="M63" s="10" t="inlineStr">
        <is>
          <t>non_controlling_interest</t>
        </is>
      </c>
      <c r="N63" s="10" t="inlineStr"/>
    </row>
    <row r="64">
      <c r="A64" s="10" t="n">
        <v>60</v>
      </c>
      <c r="B64" s="10" t="inlineStr">
        <is>
          <t>balance_sheet</t>
        </is>
      </c>
      <c r="C64" s="10" t="inlineStr"/>
      <c r="D64" s="10" t="inlineStr">
        <is>
          <t>Non-controlling interest</t>
        </is>
      </c>
      <c r="E64" s="10" t="inlineStr">
        <is>
          <t>FY2023</t>
        </is>
      </c>
      <c r="F64" s="10" t="inlineStr">
        <is>
          <t>restated</t>
        </is>
      </c>
      <c r="G64" s="11" t="n">
        <v>148</v>
      </c>
      <c r="H64" s="10" t="inlineStr">
        <is>
          <t>millions</t>
        </is>
      </c>
      <c r="I64" s="10" t="inlineStr">
        <is>
          <t>currency</t>
        </is>
      </c>
      <c r="J64" s="10" t="inlineStr">
        <is>
          <t>ZAR</t>
        </is>
      </c>
      <c r="K64" s="10" t="n">
        <v>20</v>
      </c>
      <c r="L64" s="12" t="n"/>
      <c r="M64" s="10" t="inlineStr">
        <is>
          <t>non_controlling_interest</t>
        </is>
      </c>
      <c r="N64" s="10" t="inlineStr">
        <is>
          <t>IFRS 17 restatement</t>
        </is>
      </c>
    </row>
    <row r="65">
      <c r="A65" s="10" t="n">
        <v>61</v>
      </c>
      <c r="B65" s="10" t="inlineStr">
        <is>
          <t>balance_sheet</t>
        </is>
      </c>
      <c r="C65" s="10" t="inlineStr"/>
      <c r="D65" s="10" t="inlineStr">
        <is>
          <t>Total equity</t>
        </is>
      </c>
      <c r="E65" s="10" t="inlineStr">
        <is>
          <t>FY2024</t>
        </is>
      </c>
      <c r="F65" s="10" t="inlineStr">
        <is>
          <t>as_reported</t>
        </is>
      </c>
      <c r="G65" s="11" t="n">
        <v>27724</v>
      </c>
      <c r="H65" s="10" t="inlineStr">
        <is>
          <t>millions</t>
        </is>
      </c>
      <c r="I65" s="10" t="inlineStr">
        <is>
          <t>currency</t>
        </is>
      </c>
      <c r="J65" s="10" t="inlineStr">
        <is>
          <t>ZAR</t>
        </is>
      </c>
      <c r="K65" s="10" t="n">
        <v>20</v>
      </c>
      <c r="L65" s="12" t="n"/>
      <c r="M65" s="10" t="inlineStr">
        <is>
          <t>total_equity</t>
        </is>
      </c>
      <c r="N65" s="10" t="inlineStr"/>
    </row>
    <row r="66">
      <c r="A66" s="10" t="n">
        <v>62</v>
      </c>
      <c r="B66" s="10" t="inlineStr">
        <is>
          <t>balance_sheet</t>
        </is>
      </c>
      <c r="C66" s="10" t="inlineStr"/>
      <c r="D66" s="10" t="inlineStr">
        <is>
          <t>Total equity</t>
        </is>
      </c>
      <c r="E66" s="10" t="inlineStr">
        <is>
          <t>FY2023</t>
        </is>
      </c>
      <c r="F66" s="10" t="inlineStr">
        <is>
          <t>restated</t>
        </is>
      </c>
      <c r="G66" s="11" t="n">
        <v>26278</v>
      </c>
      <c r="H66" s="10" t="inlineStr">
        <is>
          <t>millions</t>
        </is>
      </c>
      <c r="I66" s="10" t="inlineStr">
        <is>
          <t>currency</t>
        </is>
      </c>
      <c r="J66" s="10" t="inlineStr">
        <is>
          <t>ZAR</t>
        </is>
      </c>
      <c r="K66" s="10" t="n">
        <v>20</v>
      </c>
      <c r="L66" s="12" t="n"/>
      <c r="M66" s="10" t="inlineStr">
        <is>
          <t>total_equity</t>
        </is>
      </c>
      <c r="N66" s="10" t="inlineStr">
        <is>
          <t>IFRS 17 restatement</t>
        </is>
      </c>
    </row>
    <row r="67">
      <c r="A67" s="10" t="n">
        <v>63</v>
      </c>
      <c r="B67" s="10" t="inlineStr">
        <is>
          <t>balance_sheet</t>
        </is>
      </c>
      <c r="C67" s="10" t="inlineStr"/>
      <c r="D67" s="10" t="inlineStr">
        <is>
          <t>Non-current liabilities</t>
        </is>
      </c>
      <c r="E67" s="10" t="inlineStr">
        <is>
          <t>FY2024</t>
        </is>
      </c>
      <c r="F67" s="10" t="inlineStr">
        <is>
          <t>as_reported</t>
        </is>
      </c>
      <c r="G67" s="11" t="n">
        <v>43066</v>
      </c>
      <c r="H67" s="10" t="inlineStr">
        <is>
          <t>millions</t>
        </is>
      </c>
      <c r="I67" s="10" t="inlineStr">
        <is>
          <t>currency</t>
        </is>
      </c>
      <c r="J67" s="10" t="inlineStr">
        <is>
          <t>ZAR</t>
        </is>
      </c>
      <c r="K67" s="10" t="n">
        <v>20</v>
      </c>
      <c r="L67" s="12" t="n"/>
      <c r="M67" s="10" t="inlineStr">
        <is>
          <t>total_non_current_liabilities</t>
        </is>
      </c>
      <c r="N67" s="10" t="inlineStr"/>
    </row>
    <row r="68">
      <c r="A68" s="10" t="n">
        <v>64</v>
      </c>
      <c r="B68" s="10" t="inlineStr">
        <is>
          <t>balance_sheet</t>
        </is>
      </c>
      <c r="C68" s="10" t="inlineStr"/>
      <c r="D68" s="10" t="inlineStr">
        <is>
          <t>Non-current liabilities</t>
        </is>
      </c>
      <c r="E68" s="10" t="inlineStr">
        <is>
          <t>FY2023</t>
        </is>
      </c>
      <c r="F68" s="10" t="inlineStr">
        <is>
          <t>restated</t>
        </is>
      </c>
      <c r="G68" s="11" t="n">
        <v>38731</v>
      </c>
      <c r="H68" s="10" t="inlineStr">
        <is>
          <t>millions</t>
        </is>
      </c>
      <c r="I68" s="10" t="inlineStr">
        <is>
          <t>currency</t>
        </is>
      </c>
      <c r="J68" s="10" t="inlineStr">
        <is>
          <t>ZAR</t>
        </is>
      </c>
      <c r="K68" s="10" t="n">
        <v>20</v>
      </c>
      <c r="L68" s="12" t="n"/>
      <c r="M68" s="10" t="inlineStr">
        <is>
          <t>total_non_current_liabilities</t>
        </is>
      </c>
      <c r="N68" s="10" t="inlineStr">
        <is>
          <t>IFRS 17 restatement</t>
        </is>
      </c>
    </row>
  </sheetData>
  <autoFilter ref="A4:N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9" customWidth="1" min="3" max="3"/>
    <col width="56" customWidth="1" min="4" max="4"/>
    <col width="9" customWidth="1" min="5" max="5"/>
    <col width="13" customWidth="1" min="6" max="6"/>
    <col width="15" customWidth="1" min="7" max="7"/>
    <col width="11" customWidth="1" min="8" max="8"/>
    <col width="10" customWidth="1" min="9" max="9"/>
    <col width="9" customWidth="1" min="10" max="10"/>
    <col width="10" customWidth="1" min="11" max="11"/>
    <col width="9" customWidth="1" min="12" max="12"/>
    <col width="30" customWidth="1" min="13" max="13"/>
    <col width="52" customWidth="1" min="14" max="14"/>
  </cols>
  <sheetData>
    <row r="1">
      <c r="A1" s="6" t="inlineStr">
        <is>
          <t>M2.7/2.10  Consolidated statement of cash flows - year ended 30 June 2024</t>
        </is>
      </c>
    </row>
    <row r="2">
      <c r="A2" s="7" t="inlineStr">
        <is>
          <t>Source: Shoprite Holdings Ltd, Annual Financial Statements 2024 (52 weeks ended 30 June 2024), file shp-afs-2024-print.pdf. pdf_page is the PDF page index, pre-filled. VERIFY each value against that page, then set verified to Y.</t>
        </is>
      </c>
    </row>
    <row r="4">
      <c r="A4" s="9" t="inlineStr">
        <is>
          <t>row_id</t>
        </is>
      </c>
      <c r="B4" s="9" t="inlineStr">
        <is>
          <t>statement</t>
        </is>
      </c>
      <c r="C4" s="9" t="inlineStr">
        <is>
          <t>note_ref</t>
        </is>
      </c>
      <c r="D4" s="9" t="inlineStr">
        <is>
          <t>as_reported_label</t>
        </is>
      </c>
      <c r="E4" s="9" t="inlineStr">
        <is>
          <t>period</t>
        </is>
      </c>
      <c r="F4" s="9" t="inlineStr">
        <is>
          <t>basis</t>
        </is>
      </c>
      <c r="G4" s="9" t="inlineStr">
        <is>
          <t>value_as_printed</t>
        </is>
      </c>
      <c r="H4" s="9" t="inlineStr">
        <is>
          <t>scale</t>
        </is>
      </c>
      <c r="I4" s="9" t="inlineStr">
        <is>
          <t>unit</t>
        </is>
      </c>
      <c r="J4" s="9" t="inlineStr">
        <is>
          <t>currency</t>
        </is>
      </c>
      <c r="K4" s="9" t="inlineStr">
        <is>
          <t>pdf_page</t>
        </is>
      </c>
      <c r="L4" s="9" t="inlineStr">
        <is>
          <t>verified</t>
        </is>
      </c>
      <c r="M4" s="9" t="inlineStr">
        <is>
          <t>concept_suggestion</t>
        </is>
      </c>
      <c r="N4" s="9" t="inlineStr">
        <is>
          <t>notes</t>
        </is>
      </c>
    </row>
    <row r="5">
      <c r="A5" s="10" t="n">
        <v>1</v>
      </c>
      <c r="B5" s="10" t="inlineStr">
        <is>
          <t>cash_flow</t>
        </is>
      </c>
      <c r="C5" s="10" t="inlineStr"/>
      <c r="D5" s="10" t="inlineStr">
        <is>
          <t>Cash flows from operating activities</t>
        </is>
      </c>
      <c r="E5" s="10" t="inlineStr">
        <is>
          <t>FY2024</t>
        </is>
      </c>
      <c r="F5" s="10" t="inlineStr">
        <is>
          <t>as_reported</t>
        </is>
      </c>
      <c r="G5" s="11" t="n">
        <v>13841</v>
      </c>
      <c r="H5" s="10" t="inlineStr">
        <is>
          <t>millions</t>
        </is>
      </c>
      <c r="I5" s="10" t="inlineStr">
        <is>
          <t>currency</t>
        </is>
      </c>
      <c r="J5" s="10" t="inlineStr">
        <is>
          <t>ZAR</t>
        </is>
      </c>
      <c r="K5" s="10" t="n">
        <v>23</v>
      </c>
      <c r="L5" s="12" t="n"/>
      <c r="M5" s="10" t="inlineStr">
        <is>
          <t>cash_from_operating_activities</t>
        </is>
      </c>
      <c r="N5" s="10" t="inlineStr"/>
    </row>
    <row r="6">
      <c r="A6" s="10" t="n">
        <v>2</v>
      </c>
      <c r="B6" s="10" t="inlineStr">
        <is>
          <t>cash_flow</t>
        </is>
      </c>
      <c r="C6" s="10" t="inlineStr"/>
      <c r="D6" s="10" t="inlineStr">
        <is>
          <t>Cash flows from operating activities</t>
        </is>
      </c>
      <c r="E6" s="10" t="inlineStr">
        <is>
          <t>FY2023</t>
        </is>
      </c>
      <c r="F6" s="10" t="inlineStr">
        <is>
          <t>restated</t>
        </is>
      </c>
      <c r="G6" s="11" t="n">
        <v>9831</v>
      </c>
      <c r="H6" s="10" t="inlineStr">
        <is>
          <t>millions</t>
        </is>
      </c>
      <c r="I6" s="10" t="inlineStr">
        <is>
          <t>currency</t>
        </is>
      </c>
      <c r="J6" s="10" t="inlineStr">
        <is>
          <t>ZAR</t>
        </is>
      </c>
      <c r="K6" s="10" t="n">
        <v>23</v>
      </c>
      <c r="L6" s="12" t="n"/>
      <c r="M6" s="10" t="inlineStr">
        <is>
          <t>cash_from_operating_activities</t>
        </is>
      </c>
      <c r="N6" s="10" t="inlineStr"/>
    </row>
    <row r="7">
      <c r="A7" s="10" t="n">
        <v>3</v>
      </c>
      <c r="B7" s="10" t="inlineStr">
        <is>
          <t>cash_flow</t>
        </is>
      </c>
      <c r="C7" s="10" t="inlineStr"/>
      <c r="D7" s="10" t="inlineStr">
        <is>
          <t>Operating profit (per cash flow)</t>
        </is>
      </c>
      <c r="E7" s="10" t="inlineStr">
        <is>
          <t>FY2024</t>
        </is>
      </c>
      <c r="F7" s="10" t="inlineStr">
        <is>
          <t>as_reported</t>
        </is>
      </c>
      <c r="G7" s="11" t="n">
        <v>12828</v>
      </c>
      <c r="H7" s="10" t="inlineStr">
        <is>
          <t>millions</t>
        </is>
      </c>
      <c r="I7" s="10" t="inlineStr">
        <is>
          <t>currency</t>
        </is>
      </c>
      <c r="J7" s="10" t="inlineStr">
        <is>
          <t>ZAR</t>
        </is>
      </c>
      <c r="K7" s="10" t="n">
        <v>23</v>
      </c>
      <c r="L7" s="12" t="n"/>
      <c r="M7" s="10" t="inlineStr">
        <is>
          <t>operating_profit_cf</t>
        </is>
      </c>
      <c r="N7" s="10" t="inlineStr"/>
    </row>
    <row r="8">
      <c r="A8" s="10" t="n">
        <v>4</v>
      </c>
      <c r="B8" s="10" t="inlineStr">
        <is>
          <t>cash_flow</t>
        </is>
      </c>
      <c r="C8" s="10" t="inlineStr"/>
      <c r="D8" s="10" t="inlineStr">
        <is>
          <t>Operating profit (per cash flow)</t>
        </is>
      </c>
      <c r="E8" s="10" t="inlineStr">
        <is>
          <t>FY2023</t>
        </is>
      </c>
      <c r="F8" s="10" t="inlineStr">
        <is>
          <t>restated</t>
        </is>
      </c>
      <c r="G8" s="11" t="n">
        <v>11924</v>
      </c>
      <c r="H8" s="10" t="inlineStr">
        <is>
          <t>millions</t>
        </is>
      </c>
      <c r="I8" s="10" t="inlineStr">
        <is>
          <t>currency</t>
        </is>
      </c>
      <c r="J8" s="10" t="inlineStr">
        <is>
          <t>ZAR</t>
        </is>
      </c>
      <c r="K8" s="10" t="n">
        <v>23</v>
      </c>
      <c r="L8" s="12" t="n"/>
      <c r="M8" s="10" t="inlineStr">
        <is>
          <t>operating_profit_cf</t>
        </is>
      </c>
      <c r="N8" s="10" t="inlineStr"/>
    </row>
    <row r="9">
      <c r="A9" s="10" t="n">
        <v>5</v>
      </c>
      <c r="B9" s="10" t="inlineStr">
        <is>
          <t>cash_flow</t>
        </is>
      </c>
      <c r="C9" s="10" t="inlineStr"/>
      <c r="D9" s="10" t="inlineStr">
        <is>
          <t>Less: investment income and interest revenue earned</t>
        </is>
      </c>
      <c r="E9" s="10" t="inlineStr">
        <is>
          <t>FY2024</t>
        </is>
      </c>
      <c r="F9" s="10" t="inlineStr">
        <is>
          <t>as_reported</t>
        </is>
      </c>
      <c r="G9" s="11" t="n">
        <v>-1009</v>
      </c>
      <c r="H9" s="10" t="inlineStr">
        <is>
          <t>millions</t>
        </is>
      </c>
      <c r="I9" s="10" t="inlineStr">
        <is>
          <t>currency</t>
        </is>
      </c>
      <c r="J9" s="10" t="inlineStr">
        <is>
          <t>ZAR</t>
        </is>
      </c>
      <c r="K9" s="10" t="n">
        <v>23</v>
      </c>
      <c r="L9" s="12" t="n"/>
      <c r="M9" s="10" t="inlineStr">
        <is>
          <t>investment_income_removed</t>
        </is>
      </c>
      <c r="N9" s="10" t="inlineStr"/>
    </row>
    <row r="10">
      <c r="A10" s="10" t="n">
        <v>6</v>
      </c>
      <c r="B10" s="10" t="inlineStr">
        <is>
          <t>cash_flow</t>
        </is>
      </c>
      <c r="C10" s="10" t="inlineStr"/>
      <c r="D10" s="10" t="inlineStr">
        <is>
          <t>Less: investment income and interest revenue earned</t>
        </is>
      </c>
      <c r="E10" s="10" t="inlineStr">
        <is>
          <t>FY2023</t>
        </is>
      </c>
      <c r="F10" s="10" t="inlineStr">
        <is>
          <t>restated</t>
        </is>
      </c>
      <c r="G10" s="11" t="n">
        <v>-780</v>
      </c>
      <c r="H10" s="10" t="inlineStr">
        <is>
          <t>millions</t>
        </is>
      </c>
      <c r="I10" s="10" t="inlineStr">
        <is>
          <t>currency</t>
        </is>
      </c>
      <c r="J10" s="10" t="inlineStr">
        <is>
          <t>ZAR</t>
        </is>
      </c>
      <c r="K10" s="10" t="n">
        <v>23</v>
      </c>
      <c r="L10" s="12" t="n"/>
      <c r="M10" s="10" t="inlineStr">
        <is>
          <t>investment_income_removed</t>
        </is>
      </c>
      <c r="N10" s="10" t="inlineStr"/>
    </row>
    <row r="11">
      <c r="A11" s="10" t="n">
        <v>7</v>
      </c>
      <c r="B11" s="10" t="inlineStr">
        <is>
          <t>cash_flow</t>
        </is>
      </c>
      <c r="C11" s="10" t="inlineStr">
        <is>
          <t>38.1</t>
        </is>
      </c>
      <c r="D11" s="10" t="inlineStr">
        <is>
          <t>Non-cash items</t>
        </is>
      </c>
      <c r="E11" s="10" t="inlineStr">
        <is>
          <t>FY2024</t>
        </is>
      </c>
      <c r="F11" s="10" t="inlineStr">
        <is>
          <t>as_reported</t>
        </is>
      </c>
      <c r="G11" s="11" t="n">
        <v>8557</v>
      </c>
      <c r="H11" s="10" t="inlineStr">
        <is>
          <t>millions</t>
        </is>
      </c>
      <c r="I11" s="10" t="inlineStr">
        <is>
          <t>currency</t>
        </is>
      </c>
      <c r="J11" s="10" t="inlineStr">
        <is>
          <t>ZAR</t>
        </is>
      </c>
      <c r="K11" s="10" t="n">
        <v>23</v>
      </c>
      <c r="L11" s="12" t="n"/>
      <c r="M11" s="10" t="inlineStr">
        <is>
          <t>non_cash_items</t>
        </is>
      </c>
      <c r="N11" s="10" t="inlineStr"/>
    </row>
    <row r="12">
      <c r="A12" s="10" t="n">
        <v>8</v>
      </c>
      <c r="B12" s="10" t="inlineStr">
        <is>
          <t>cash_flow</t>
        </is>
      </c>
      <c r="C12" s="10" t="inlineStr">
        <is>
          <t>38.1</t>
        </is>
      </c>
      <c r="D12" s="10" t="inlineStr">
        <is>
          <t>Non-cash items</t>
        </is>
      </c>
      <c r="E12" s="10" t="inlineStr">
        <is>
          <t>FY2023</t>
        </is>
      </c>
      <c r="F12" s="10" t="inlineStr">
        <is>
          <t>restated</t>
        </is>
      </c>
      <c r="G12" s="11" t="n">
        <v>7268</v>
      </c>
      <c r="H12" s="10" t="inlineStr">
        <is>
          <t>millions</t>
        </is>
      </c>
      <c r="I12" s="10" t="inlineStr">
        <is>
          <t>currency</t>
        </is>
      </c>
      <c r="J12" s="10" t="inlineStr">
        <is>
          <t>ZAR</t>
        </is>
      </c>
      <c r="K12" s="10" t="n">
        <v>23</v>
      </c>
      <c r="L12" s="12" t="n"/>
      <c r="M12" s="10" t="inlineStr">
        <is>
          <t>non_cash_items</t>
        </is>
      </c>
      <c r="N12" s="10" t="inlineStr"/>
    </row>
    <row r="13">
      <c r="A13" s="10" t="n">
        <v>9</v>
      </c>
      <c r="B13" s="10" t="inlineStr">
        <is>
          <t>cash_flow</t>
        </is>
      </c>
      <c r="C13" s="10" t="inlineStr">
        <is>
          <t>38.2</t>
        </is>
      </c>
      <c r="D13" s="10" t="inlineStr">
        <is>
          <t>Changes in working capital</t>
        </is>
      </c>
      <c r="E13" s="10" t="inlineStr">
        <is>
          <t>FY2024</t>
        </is>
      </c>
      <c r="F13" s="10" t="inlineStr">
        <is>
          <t>as_reported</t>
        </is>
      </c>
      <c r="G13" s="11" t="n">
        <v>3252</v>
      </c>
      <c r="H13" s="10" t="inlineStr">
        <is>
          <t>millions</t>
        </is>
      </c>
      <c r="I13" s="10" t="inlineStr">
        <is>
          <t>currency</t>
        </is>
      </c>
      <c r="J13" s="10" t="inlineStr">
        <is>
          <t>ZAR</t>
        </is>
      </c>
      <c r="K13" s="10" t="n">
        <v>23</v>
      </c>
      <c r="L13" s="12" t="n"/>
      <c r="M13" s="10" t="inlineStr">
        <is>
          <t>working_capital_movement</t>
        </is>
      </c>
      <c r="N13" s="10" t="inlineStr"/>
    </row>
    <row r="14">
      <c r="A14" s="10" t="n">
        <v>10</v>
      </c>
      <c r="B14" s="10" t="inlineStr">
        <is>
          <t>cash_flow</t>
        </is>
      </c>
      <c r="C14" s="10" t="inlineStr">
        <is>
          <t>38.2</t>
        </is>
      </c>
      <c r="D14" s="10" t="inlineStr">
        <is>
          <t>Changes in working capital</t>
        </is>
      </c>
      <c r="E14" s="10" t="inlineStr">
        <is>
          <t>FY2023</t>
        </is>
      </c>
      <c r="F14" s="10" t="inlineStr">
        <is>
          <t>restated</t>
        </is>
      </c>
      <c r="G14" s="11" t="n">
        <v>-175</v>
      </c>
      <c r="H14" s="10" t="inlineStr">
        <is>
          <t>millions</t>
        </is>
      </c>
      <c r="I14" s="10" t="inlineStr">
        <is>
          <t>currency</t>
        </is>
      </c>
      <c r="J14" s="10" t="inlineStr">
        <is>
          <t>ZAR</t>
        </is>
      </c>
      <c r="K14" s="10" t="n">
        <v>23</v>
      </c>
      <c r="L14" s="12" t="n"/>
      <c r="M14" s="10" t="inlineStr">
        <is>
          <t>working_capital_movement</t>
        </is>
      </c>
      <c r="N14" s="10" t="inlineStr"/>
    </row>
    <row r="15">
      <c r="A15" s="10" t="n">
        <v>11</v>
      </c>
      <c r="B15" s="10" t="inlineStr">
        <is>
          <t>cash_flow</t>
        </is>
      </c>
      <c r="C15" s="10" t="inlineStr"/>
      <c r="D15" s="10" t="inlineStr">
        <is>
          <t>Cash generated from operations</t>
        </is>
      </c>
      <c r="E15" s="10" t="inlineStr">
        <is>
          <t>FY2024</t>
        </is>
      </c>
      <c r="F15" s="10" t="inlineStr">
        <is>
          <t>as_reported</t>
        </is>
      </c>
      <c r="G15" s="11" t="n">
        <v>23628</v>
      </c>
      <c r="H15" s="10" t="inlineStr">
        <is>
          <t>millions</t>
        </is>
      </c>
      <c r="I15" s="10" t="inlineStr">
        <is>
          <t>currency</t>
        </is>
      </c>
      <c r="J15" s="10" t="inlineStr">
        <is>
          <t>ZAR</t>
        </is>
      </c>
      <c r="K15" s="10" t="n">
        <v>23</v>
      </c>
      <c r="L15" s="12" t="n"/>
      <c r="M15" s="10" t="inlineStr">
        <is>
          <t>cash_generated_from_operations</t>
        </is>
      </c>
      <c r="N15" s="10" t="inlineStr"/>
    </row>
    <row r="16">
      <c r="A16" s="10" t="n">
        <v>12</v>
      </c>
      <c r="B16" s="10" t="inlineStr">
        <is>
          <t>cash_flow</t>
        </is>
      </c>
      <c r="C16" s="10" t="inlineStr"/>
      <c r="D16" s="10" t="inlineStr">
        <is>
          <t>Cash generated from operations</t>
        </is>
      </c>
      <c r="E16" s="10" t="inlineStr">
        <is>
          <t>FY2023</t>
        </is>
      </c>
      <c r="F16" s="10" t="inlineStr">
        <is>
          <t>restated</t>
        </is>
      </c>
      <c r="G16" s="11" t="n">
        <v>18237</v>
      </c>
      <c r="H16" s="10" t="inlineStr">
        <is>
          <t>millions</t>
        </is>
      </c>
      <c r="I16" s="10" t="inlineStr">
        <is>
          <t>currency</t>
        </is>
      </c>
      <c r="J16" s="10" t="inlineStr">
        <is>
          <t>ZAR</t>
        </is>
      </c>
      <c r="K16" s="10" t="n">
        <v>23</v>
      </c>
      <c r="L16" s="12" t="n"/>
      <c r="M16" s="10" t="inlineStr">
        <is>
          <t>cash_generated_from_operations</t>
        </is>
      </c>
      <c r="N16" s="10" t="inlineStr"/>
    </row>
    <row r="17">
      <c r="A17" s="10" t="n">
        <v>13</v>
      </c>
      <c r="B17" s="10" t="inlineStr">
        <is>
          <t>cash_flow</t>
        </is>
      </c>
      <c r="C17" s="10" t="inlineStr"/>
      <c r="D17" s="10" t="inlineStr">
        <is>
          <t>Interest received</t>
        </is>
      </c>
      <c r="E17" s="10" t="inlineStr">
        <is>
          <t>FY2024</t>
        </is>
      </c>
      <c r="F17" s="10" t="inlineStr">
        <is>
          <t>as_reported</t>
        </is>
      </c>
      <c r="G17" s="11" t="n">
        <v>1212</v>
      </c>
      <c r="H17" s="10" t="inlineStr">
        <is>
          <t>millions</t>
        </is>
      </c>
      <c r="I17" s="10" t="inlineStr">
        <is>
          <t>currency</t>
        </is>
      </c>
      <c r="J17" s="10" t="inlineStr">
        <is>
          <t>ZAR</t>
        </is>
      </c>
      <c r="K17" s="10" t="n">
        <v>23</v>
      </c>
      <c r="L17" s="12" t="n"/>
      <c r="M17" s="10" t="inlineStr">
        <is>
          <t>interest_received_cf</t>
        </is>
      </c>
      <c r="N17" s="10" t="inlineStr"/>
    </row>
    <row r="18">
      <c r="A18" s="10" t="n">
        <v>14</v>
      </c>
      <c r="B18" s="10" t="inlineStr">
        <is>
          <t>cash_flow</t>
        </is>
      </c>
      <c r="C18" s="10" t="inlineStr"/>
      <c r="D18" s="10" t="inlineStr">
        <is>
          <t>Interest received</t>
        </is>
      </c>
      <c r="E18" s="10" t="inlineStr">
        <is>
          <t>FY2023</t>
        </is>
      </c>
      <c r="F18" s="10" t="inlineStr">
        <is>
          <t>restated</t>
        </is>
      </c>
      <c r="G18" s="11" t="n">
        <v>1080</v>
      </c>
      <c r="H18" s="10" t="inlineStr">
        <is>
          <t>millions</t>
        </is>
      </c>
      <c r="I18" s="10" t="inlineStr">
        <is>
          <t>currency</t>
        </is>
      </c>
      <c r="J18" s="10" t="inlineStr">
        <is>
          <t>ZAR</t>
        </is>
      </c>
      <c r="K18" s="10" t="n">
        <v>23</v>
      </c>
      <c r="L18" s="12" t="n"/>
      <c r="M18" s="10" t="inlineStr">
        <is>
          <t>interest_received_cf</t>
        </is>
      </c>
      <c r="N18" s="10" t="inlineStr"/>
    </row>
    <row r="19">
      <c r="A19" s="10" t="n">
        <v>15</v>
      </c>
      <c r="B19" s="10" t="inlineStr">
        <is>
          <t>cash_flow</t>
        </is>
      </c>
      <c r="C19" s="10" t="inlineStr"/>
      <c r="D19" s="10" t="inlineStr">
        <is>
          <t>Interest paid</t>
        </is>
      </c>
      <c r="E19" s="10" t="inlineStr">
        <is>
          <t>FY2024</t>
        </is>
      </c>
      <c r="F19" s="10" t="inlineStr">
        <is>
          <t>as_reported</t>
        </is>
      </c>
      <c r="G19" s="11" t="n">
        <v>-4305</v>
      </c>
      <c r="H19" s="10" t="inlineStr">
        <is>
          <t>millions</t>
        </is>
      </c>
      <c r="I19" s="10" t="inlineStr">
        <is>
          <t>currency</t>
        </is>
      </c>
      <c r="J19" s="10" t="inlineStr">
        <is>
          <t>ZAR</t>
        </is>
      </c>
      <c r="K19" s="10" t="n">
        <v>23</v>
      </c>
      <c r="L19" s="12" t="n"/>
      <c r="M19" s="10" t="inlineStr">
        <is>
          <t>interest_paid_cf</t>
        </is>
      </c>
      <c r="N19" s="10" t="inlineStr"/>
    </row>
    <row r="20">
      <c r="A20" s="10" t="n">
        <v>16</v>
      </c>
      <c r="B20" s="10" t="inlineStr">
        <is>
          <t>cash_flow</t>
        </is>
      </c>
      <c r="C20" s="10" t="inlineStr"/>
      <c r="D20" s="10" t="inlineStr">
        <is>
          <t>Interest paid</t>
        </is>
      </c>
      <c r="E20" s="10" t="inlineStr">
        <is>
          <t>FY2023</t>
        </is>
      </c>
      <c r="F20" s="10" t="inlineStr">
        <is>
          <t>restated</t>
        </is>
      </c>
      <c r="G20" s="11" t="n">
        <v>-3664</v>
      </c>
      <c r="H20" s="10" t="inlineStr">
        <is>
          <t>millions</t>
        </is>
      </c>
      <c r="I20" s="10" t="inlineStr">
        <is>
          <t>currency</t>
        </is>
      </c>
      <c r="J20" s="10" t="inlineStr">
        <is>
          <t>ZAR</t>
        </is>
      </c>
      <c r="K20" s="10" t="n">
        <v>23</v>
      </c>
      <c r="L20" s="12" t="n"/>
      <c r="M20" s="10" t="inlineStr">
        <is>
          <t>interest_paid_cf</t>
        </is>
      </c>
      <c r="N20" s="10" t="inlineStr"/>
    </row>
    <row r="21">
      <c r="A21" s="10" t="n">
        <v>17</v>
      </c>
      <c r="B21" s="10" t="inlineStr">
        <is>
          <t>cash_flow</t>
        </is>
      </c>
      <c r="C21" s="10" t="inlineStr"/>
      <c r="D21" s="10" t="inlineStr">
        <is>
          <t>Dividends received</t>
        </is>
      </c>
      <c r="E21" s="10" t="inlineStr">
        <is>
          <t>FY2024</t>
        </is>
      </c>
      <c r="F21" s="10" t="inlineStr">
        <is>
          <t>as_reported</t>
        </is>
      </c>
      <c r="G21" s="11" t="n">
        <v>568</v>
      </c>
      <c r="H21" s="10" t="inlineStr">
        <is>
          <t>millions</t>
        </is>
      </c>
      <c r="I21" s="10" t="inlineStr">
        <is>
          <t>currency</t>
        </is>
      </c>
      <c r="J21" s="10" t="inlineStr">
        <is>
          <t>ZAR</t>
        </is>
      </c>
      <c r="K21" s="10" t="n">
        <v>23</v>
      </c>
      <c r="L21" s="12" t="n"/>
      <c r="M21" s="10" t="inlineStr">
        <is>
          <t>dividends_received_cf</t>
        </is>
      </c>
      <c r="N21" s="10" t="inlineStr"/>
    </row>
    <row r="22">
      <c r="A22" s="10" t="n">
        <v>18</v>
      </c>
      <c r="B22" s="10" t="inlineStr">
        <is>
          <t>cash_flow</t>
        </is>
      </c>
      <c r="C22" s="10" t="inlineStr"/>
      <c r="D22" s="10" t="inlineStr">
        <is>
          <t>Dividends received</t>
        </is>
      </c>
      <c r="E22" s="10" t="inlineStr">
        <is>
          <t>FY2023</t>
        </is>
      </c>
      <c r="F22" s="10" t="inlineStr">
        <is>
          <t>restated</t>
        </is>
      </c>
      <c r="G22" s="11" t="n">
        <v>262</v>
      </c>
      <c r="H22" s="10" t="inlineStr">
        <is>
          <t>millions</t>
        </is>
      </c>
      <c r="I22" s="10" t="inlineStr">
        <is>
          <t>currency</t>
        </is>
      </c>
      <c r="J22" s="10" t="inlineStr">
        <is>
          <t>ZAR</t>
        </is>
      </c>
      <c r="K22" s="10" t="n">
        <v>23</v>
      </c>
      <c r="L22" s="12" t="n"/>
      <c r="M22" s="10" t="inlineStr">
        <is>
          <t>dividends_received_cf</t>
        </is>
      </c>
      <c r="N22" s="10" t="inlineStr"/>
    </row>
    <row r="23">
      <c r="A23" s="10" t="n">
        <v>19</v>
      </c>
      <c r="B23" s="10" t="inlineStr">
        <is>
          <t>cash_flow</t>
        </is>
      </c>
      <c r="C23" s="10" t="inlineStr">
        <is>
          <t>38.3</t>
        </is>
      </c>
      <c r="D23" s="10" t="inlineStr">
        <is>
          <t>Dividends paid</t>
        </is>
      </c>
      <c r="E23" s="10" t="inlineStr">
        <is>
          <t>FY2024</t>
        </is>
      </c>
      <c r="F23" s="10" t="inlineStr">
        <is>
          <t>as_reported</t>
        </is>
      </c>
      <c r="G23" s="11" t="n">
        <v>-3743</v>
      </c>
      <c r="H23" s="10" t="inlineStr">
        <is>
          <t>millions</t>
        </is>
      </c>
      <c r="I23" s="10" t="inlineStr">
        <is>
          <t>currency</t>
        </is>
      </c>
      <c r="J23" s="10" t="inlineStr">
        <is>
          <t>ZAR</t>
        </is>
      </c>
      <c r="K23" s="10" t="n">
        <v>23</v>
      </c>
      <c r="L23" s="12" t="n"/>
      <c r="M23" s="10" t="inlineStr">
        <is>
          <t>dividends_paid_cf</t>
        </is>
      </c>
      <c r="N23" s="10" t="inlineStr"/>
    </row>
    <row r="24">
      <c r="A24" s="10" t="n">
        <v>20</v>
      </c>
      <c r="B24" s="10" t="inlineStr">
        <is>
          <t>cash_flow</t>
        </is>
      </c>
      <c r="C24" s="10" t="inlineStr">
        <is>
          <t>38.3</t>
        </is>
      </c>
      <c r="D24" s="10" t="inlineStr">
        <is>
          <t>Dividends paid</t>
        </is>
      </c>
      <c r="E24" s="10" t="inlineStr">
        <is>
          <t>FY2023</t>
        </is>
      </c>
      <c r="F24" s="10" t="inlineStr">
        <is>
          <t>restated</t>
        </is>
      </c>
      <c r="G24" s="11" t="n">
        <v>-3370</v>
      </c>
      <c r="H24" s="10" t="inlineStr">
        <is>
          <t>millions</t>
        </is>
      </c>
      <c r="I24" s="10" t="inlineStr">
        <is>
          <t>currency</t>
        </is>
      </c>
      <c r="J24" s="10" t="inlineStr">
        <is>
          <t>ZAR</t>
        </is>
      </c>
      <c r="K24" s="10" t="n">
        <v>23</v>
      </c>
      <c r="L24" s="12" t="n"/>
      <c r="M24" s="10" t="inlineStr">
        <is>
          <t>dividends_paid_cf</t>
        </is>
      </c>
      <c r="N24" s="10" t="inlineStr"/>
    </row>
    <row r="25">
      <c r="A25" s="10" t="n">
        <v>21</v>
      </c>
      <c r="B25" s="10" t="inlineStr">
        <is>
          <t>cash_flow</t>
        </is>
      </c>
      <c r="C25" s="10" t="inlineStr">
        <is>
          <t>38.4</t>
        </is>
      </c>
      <c r="D25" s="10" t="inlineStr">
        <is>
          <t>Income tax paid</t>
        </is>
      </c>
      <c r="E25" s="10" t="inlineStr">
        <is>
          <t>FY2024</t>
        </is>
      </c>
      <c r="F25" s="10" t="inlineStr">
        <is>
          <t>as_reported</t>
        </is>
      </c>
      <c r="G25" s="11" t="n">
        <v>-3519</v>
      </c>
      <c r="H25" s="10" t="inlineStr">
        <is>
          <t>millions</t>
        </is>
      </c>
      <c r="I25" s="10" t="inlineStr">
        <is>
          <t>currency</t>
        </is>
      </c>
      <c r="J25" s="10" t="inlineStr">
        <is>
          <t>ZAR</t>
        </is>
      </c>
      <c r="K25" s="10" t="n">
        <v>23</v>
      </c>
      <c r="L25" s="12" t="n"/>
      <c r="M25" s="10" t="inlineStr">
        <is>
          <t>income_tax_paid_cf</t>
        </is>
      </c>
      <c r="N25" s="10" t="inlineStr"/>
    </row>
    <row r="26">
      <c r="A26" s="10" t="n">
        <v>22</v>
      </c>
      <c r="B26" s="10" t="inlineStr">
        <is>
          <t>cash_flow</t>
        </is>
      </c>
      <c r="C26" s="10" t="inlineStr">
        <is>
          <t>38.4</t>
        </is>
      </c>
      <c r="D26" s="10" t="inlineStr">
        <is>
          <t>Income tax paid</t>
        </is>
      </c>
      <c r="E26" s="10" t="inlineStr">
        <is>
          <t>FY2023</t>
        </is>
      </c>
      <c r="F26" s="10" t="inlineStr">
        <is>
          <t>restated</t>
        </is>
      </c>
      <c r="G26" s="11" t="n">
        <v>-2714</v>
      </c>
      <c r="H26" s="10" t="inlineStr">
        <is>
          <t>millions</t>
        </is>
      </c>
      <c r="I26" s="10" t="inlineStr">
        <is>
          <t>currency</t>
        </is>
      </c>
      <c r="J26" s="10" t="inlineStr">
        <is>
          <t>ZAR</t>
        </is>
      </c>
      <c r="K26" s="10" t="n">
        <v>23</v>
      </c>
      <c r="L26" s="12" t="n"/>
      <c r="M26" s="10" t="inlineStr">
        <is>
          <t>income_tax_paid_cf</t>
        </is>
      </c>
      <c r="N26" s="10" t="inlineStr"/>
    </row>
    <row r="27">
      <c r="A27" s="10" t="n">
        <v>23</v>
      </c>
      <c r="B27" s="10" t="inlineStr">
        <is>
          <t>cash_flow</t>
        </is>
      </c>
      <c r="C27" s="10" t="inlineStr"/>
      <c r="D27" s="10" t="inlineStr">
        <is>
          <t>Cash flows utilised by investing activities</t>
        </is>
      </c>
      <c r="E27" s="10" t="inlineStr">
        <is>
          <t>FY2024</t>
        </is>
      </c>
      <c r="F27" s="10" t="inlineStr">
        <is>
          <t>as_reported</t>
        </is>
      </c>
      <c r="G27" s="11" t="n">
        <v>-6779</v>
      </c>
      <c r="H27" s="10" t="inlineStr">
        <is>
          <t>millions</t>
        </is>
      </c>
      <c r="I27" s="10" t="inlineStr">
        <is>
          <t>currency</t>
        </is>
      </c>
      <c r="J27" s="10" t="inlineStr">
        <is>
          <t>ZAR</t>
        </is>
      </c>
      <c r="K27" s="10" t="n">
        <v>23</v>
      </c>
      <c r="L27" s="12" t="n"/>
      <c r="M27" s="10" t="inlineStr">
        <is>
          <t>cash_from_investing_activities</t>
        </is>
      </c>
      <c r="N27" s="10" t="inlineStr"/>
    </row>
    <row r="28">
      <c r="A28" s="10" t="n">
        <v>24</v>
      </c>
      <c r="B28" s="10" t="inlineStr">
        <is>
          <t>cash_flow</t>
        </is>
      </c>
      <c r="C28" s="10" t="inlineStr"/>
      <c r="D28" s="10" t="inlineStr">
        <is>
          <t>Cash flows utilised by investing activities</t>
        </is>
      </c>
      <c r="E28" s="10" t="inlineStr">
        <is>
          <t>FY2023</t>
        </is>
      </c>
      <c r="F28" s="10" t="inlineStr">
        <is>
          <t>restated</t>
        </is>
      </c>
      <c r="G28" s="11" t="n">
        <v>-6229</v>
      </c>
      <c r="H28" s="10" t="inlineStr">
        <is>
          <t>millions</t>
        </is>
      </c>
      <c r="I28" s="10" t="inlineStr">
        <is>
          <t>currency</t>
        </is>
      </c>
      <c r="J28" s="10" t="inlineStr">
        <is>
          <t>ZAR</t>
        </is>
      </c>
      <c r="K28" s="10" t="n">
        <v>23</v>
      </c>
      <c r="L28" s="12" t="n"/>
      <c r="M28" s="10" t="inlineStr">
        <is>
          <t>cash_from_investing_activities</t>
        </is>
      </c>
      <c r="N28" s="10" t="inlineStr"/>
    </row>
    <row r="29">
      <c r="A29" s="10" t="n">
        <v>25</v>
      </c>
      <c r="B29" s="10" t="inlineStr">
        <is>
          <t>cash_flow</t>
        </is>
      </c>
      <c r="C29" s="10" t="inlineStr"/>
      <c r="D29" s="10" t="inlineStr">
        <is>
          <t>Investment in trademarks to expand operations</t>
        </is>
      </c>
      <c r="E29" s="10" t="inlineStr">
        <is>
          <t>FY2024</t>
        </is>
      </c>
      <c r="F29" s="10" t="inlineStr">
        <is>
          <t>as_reported</t>
        </is>
      </c>
      <c r="G29" s="11" t="n">
        <v>0</v>
      </c>
      <c r="H29" s="10" t="inlineStr">
        <is>
          <t>millions</t>
        </is>
      </c>
      <c r="I29" s="10" t="inlineStr">
        <is>
          <t>currency</t>
        </is>
      </c>
      <c r="J29" s="10" t="inlineStr">
        <is>
          <t>ZAR</t>
        </is>
      </c>
      <c r="K29" s="10" t="n">
        <v>23</v>
      </c>
      <c r="L29" s="12" t="n"/>
      <c r="M29" s="10" t="inlineStr">
        <is>
          <t>capex_trademarks</t>
        </is>
      </c>
      <c r="N29" s="10" t="inlineStr">
        <is>
          <t>Present in FY2024, ABSENT from FY2025 - one-off items come and go</t>
        </is>
      </c>
    </row>
    <row r="30">
      <c r="A30" s="10" t="n">
        <v>26</v>
      </c>
      <c r="B30" s="10" t="inlineStr">
        <is>
          <t>cash_flow</t>
        </is>
      </c>
      <c r="C30" s="10" t="inlineStr"/>
      <c r="D30" s="10" t="inlineStr">
        <is>
          <t>Investment in trademarks to expand operations</t>
        </is>
      </c>
      <c r="E30" s="10" t="inlineStr">
        <is>
          <t>FY2023</t>
        </is>
      </c>
      <c r="F30" s="10" t="inlineStr">
        <is>
          <t>restated</t>
        </is>
      </c>
      <c r="G30" s="11" t="n">
        <v>-20</v>
      </c>
      <c r="H30" s="10" t="inlineStr">
        <is>
          <t>millions</t>
        </is>
      </c>
      <c r="I30" s="10" t="inlineStr">
        <is>
          <t>currency</t>
        </is>
      </c>
      <c r="J30" s="10" t="inlineStr">
        <is>
          <t>ZAR</t>
        </is>
      </c>
      <c r="K30" s="10" t="n">
        <v>23</v>
      </c>
      <c r="L30" s="12" t="n"/>
      <c r="M30" s="10" t="inlineStr">
        <is>
          <t>capex_trademarks</t>
        </is>
      </c>
      <c r="N30" s="10" t="inlineStr"/>
    </row>
    <row r="31">
      <c r="A31" s="10" t="n">
        <v>27</v>
      </c>
      <c r="B31" s="10" t="inlineStr">
        <is>
          <t>cash_flow</t>
        </is>
      </c>
      <c r="C31" s="10" t="inlineStr"/>
      <c r="D31" s="10" t="inlineStr">
        <is>
          <t>Investment in property, plant and equipment and other intangible assets to expand operations</t>
        </is>
      </c>
      <c r="E31" s="10" t="inlineStr">
        <is>
          <t>FY2024</t>
        </is>
      </c>
      <c r="F31" s="10" t="inlineStr">
        <is>
          <t>as_reported</t>
        </is>
      </c>
      <c r="G31" s="11" t="n">
        <v>-5718</v>
      </c>
      <c r="H31" s="10" t="inlineStr">
        <is>
          <t>millions</t>
        </is>
      </c>
      <c r="I31" s="10" t="inlineStr">
        <is>
          <t>currency</t>
        </is>
      </c>
      <c r="J31" s="10" t="inlineStr">
        <is>
          <t>ZAR</t>
        </is>
      </c>
      <c r="K31" s="10" t="n">
        <v>23</v>
      </c>
      <c r="L31" s="12" t="n"/>
      <c r="M31" s="10" t="inlineStr">
        <is>
          <t>capex_expansion</t>
        </is>
      </c>
      <c r="N31" s="10" t="inlineStr"/>
    </row>
    <row r="32">
      <c r="A32" s="10" t="n">
        <v>28</v>
      </c>
      <c r="B32" s="10" t="inlineStr">
        <is>
          <t>cash_flow</t>
        </is>
      </c>
      <c r="C32" s="10" t="inlineStr"/>
      <c r="D32" s="10" t="inlineStr">
        <is>
          <t>Investment in property, plant and equipment and other intangible assets to expand operations</t>
        </is>
      </c>
      <c r="E32" s="10" t="inlineStr">
        <is>
          <t>FY2023</t>
        </is>
      </c>
      <c r="F32" s="10" t="inlineStr">
        <is>
          <t>restated</t>
        </is>
      </c>
      <c r="G32" s="11" t="n">
        <v>-4594</v>
      </c>
      <c r="H32" s="10" t="inlineStr">
        <is>
          <t>millions</t>
        </is>
      </c>
      <c r="I32" s="10" t="inlineStr">
        <is>
          <t>currency</t>
        </is>
      </c>
      <c r="J32" s="10" t="inlineStr">
        <is>
          <t>ZAR</t>
        </is>
      </c>
      <c r="K32" s="10" t="n">
        <v>23</v>
      </c>
      <c r="L32" s="12" t="n"/>
      <c r="M32" s="10" t="inlineStr">
        <is>
          <t>capex_expansion</t>
        </is>
      </c>
      <c r="N32" s="10" t="inlineStr"/>
    </row>
    <row r="33">
      <c r="A33" s="10" t="n">
        <v>29</v>
      </c>
      <c r="B33" s="10" t="inlineStr">
        <is>
          <t>cash_flow</t>
        </is>
      </c>
      <c r="C33" s="10" t="inlineStr"/>
      <c r="D33" s="10" t="inlineStr">
        <is>
          <t>Investment in property, plant and equipment and other intangible assets to maintain operations</t>
        </is>
      </c>
      <c r="E33" s="10" t="inlineStr">
        <is>
          <t>FY2024</t>
        </is>
      </c>
      <c r="F33" s="10" t="inlineStr">
        <is>
          <t>as_reported</t>
        </is>
      </c>
      <c r="G33" s="11" t="n">
        <v>-2012</v>
      </c>
      <c r="H33" s="10" t="inlineStr">
        <is>
          <t>millions</t>
        </is>
      </c>
      <c r="I33" s="10" t="inlineStr">
        <is>
          <t>currency</t>
        </is>
      </c>
      <c r="J33" s="10" t="inlineStr">
        <is>
          <t>ZAR</t>
        </is>
      </c>
      <c r="K33" s="10" t="n">
        <v>23</v>
      </c>
      <c r="L33" s="12" t="n"/>
      <c r="M33" s="10" t="inlineStr">
        <is>
          <t>capex_maintenance</t>
        </is>
      </c>
      <c r="N33" s="10" t="inlineStr"/>
    </row>
    <row r="34">
      <c r="A34" s="10" t="n">
        <v>30</v>
      </c>
      <c r="B34" s="10" t="inlineStr">
        <is>
          <t>cash_flow</t>
        </is>
      </c>
      <c r="C34" s="10" t="inlineStr"/>
      <c r="D34" s="10" t="inlineStr">
        <is>
          <t>Investment in property, plant and equipment and other intangible assets to maintain operations</t>
        </is>
      </c>
      <c r="E34" s="10" t="inlineStr">
        <is>
          <t>FY2023</t>
        </is>
      </c>
      <c r="F34" s="10" t="inlineStr">
        <is>
          <t>restated</t>
        </is>
      </c>
      <c r="G34" s="11" t="n">
        <v>-2095</v>
      </c>
      <c r="H34" s="10" t="inlineStr">
        <is>
          <t>millions</t>
        </is>
      </c>
      <c r="I34" s="10" t="inlineStr">
        <is>
          <t>currency</t>
        </is>
      </c>
      <c r="J34" s="10" t="inlineStr">
        <is>
          <t>ZAR</t>
        </is>
      </c>
      <c r="K34" s="10" t="n">
        <v>23</v>
      </c>
      <c r="L34" s="12" t="n"/>
      <c r="M34" s="10" t="inlineStr">
        <is>
          <t>capex_maintenance</t>
        </is>
      </c>
      <c r="N34" s="10" t="inlineStr"/>
    </row>
    <row r="35">
      <c r="A35" s="10" t="n">
        <v>31</v>
      </c>
      <c r="B35" s="10" t="inlineStr">
        <is>
          <t>cash_flow</t>
        </is>
      </c>
      <c r="C35" s="10" t="inlineStr"/>
      <c r="D35" s="10" t="inlineStr">
        <is>
          <t>Investment in assets classified as held for sale</t>
        </is>
      </c>
      <c r="E35" s="10" t="inlineStr">
        <is>
          <t>FY2024</t>
        </is>
      </c>
      <c r="F35" s="10" t="inlineStr">
        <is>
          <t>as_reported</t>
        </is>
      </c>
      <c r="G35" s="11" t="n">
        <v>-32</v>
      </c>
      <c r="H35" s="10" t="inlineStr">
        <is>
          <t>millions</t>
        </is>
      </c>
      <c r="I35" s="10" t="inlineStr">
        <is>
          <t>currency</t>
        </is>
      </c>
      <c r="J35" s="10" t="inlineStr">
        <is>
          <t>ZAR</t>
        </is>
      </c>
      <c r="K35" s="10" t="n">
        <v>23</v>
      </c>
      <c r="L35" s="12" t="n"/>
      <c r="M35" s="10" t="inlineStr">
        <is>
          <t>investment_assets_held_for_sale</t>
        </is>
      </c>
      <c r="N35" s="10" t="inlineStr"/>
    </row>
    <row r="36">
      <c r="A36" s="10" t="n">
        <v>32</v>
      </c>
      <c r="B36" s="10" t="inlineStr">
        <is>
          <t>cash_flow</t>
        </is>
      </c>
      <c r="C36" s="10" t="inlineStr"/>
      <c r="D36" s="10" t="inlineStr">
        <is>
          <t>Investment in assets classified as held for sale</t>
        </is>
      </c>
      <c r="E36" s="10" t="inlineStr">
        <is>
          <t>FY2023</t>
        </is>
      </c>
      <c r="F36" s="10" t="inlineStr">
        <is>
          <t>restated</t>
        </is>
      </c>
      <c r="G36" s="11" t="n">
        <v>-46</v>
      </c>
      <c r="H36" s="10" t="inlineStr">
        <is>
          <t>millions</t>
        </is>
      </c>
      <c r="I36" s="10" t="inlineStr">
        <is>
          <t>currency</t>
        </is>
      </c>
      <c r="J36" s="10" t="inlineStr">
        <is>
          <t>ZAR</t>
        </is>
      </c>
      <c r="K36" s="10" t="n">
        <v>23</v>
      </c>
      <c r="L36" s="12" t="n"/>
      <c r="M36" s="10" t="inlineStr">
        <is>
          <t>investment_assets_held_for_sale</t>
        </is>
      </c>
      <c r="N36" s="10" t="inlineStr"/>
    </row>
    <row r="37">
      <c r="A37" s="10" t="n">
        <v>33</v>
      </c>
      <c r="B37" s="10" t="inlineStr">
        <is>
          <t>cash_flow</t>
        </is>
      </c>
      <c r="C37" s="10" t="inlineStr"/>
      <c r="D37" s="10" t="inlineStr">
        <is>
          <t>Investment in convertible loans</t>
        </is>
      </c>
      <c r="E37" s="10" t="inlineStr">
        <is>
          <t>FY2024</t>
        </is>
      </c>
      <c r="F37" s="10" t="inlineStr">
        <is>
          <t>as_reported</t>
        </is>
      </c>
      <c r="G37" s="11" t="n">
        <v>-5</v>
      </c>
      <c r="H37" s="10" t="inlineStr">
        <is>
          <t>millions</t>
        </is>
      </c>
      <c r="I37" s="10" t="inlineStr">
        <is>
          <t>currency</t>
        </is>
      </c>
      <c r="J37" s="10" t="inlineStr">
        <is>
          <t>ZAR</t>
        </is>
      </c>
      <c r="K37" s="10" t="n">
        <v>23</v>
      </c>
      <c r="L37" s="12" t="n"/>
      <c r="M37" s="10" t="inlineStr">
        <is>
          <t>investment_convertible_loans</t>
        </is>
      </c>
      <c r="N37" s="10" t="inlineStr"/>
    </row>
    <row r="38">
      <c r="A38" s="10" t="n">
        <v>34</v>
      </c>
      <c r="B38" s="10" t="inlineStr">
        <is>
          <t>cash_flow</t>
        </is>
      </c>
      <c r="C38" s="10" t="inlineStr"/>
      <c r="D38" s="10" t="inlineStr">
        <is>
          <t>Investment in convertible loans</t>
        </is>
      </c>
      <c r="E38" s="10" t="inlineStr">
        <is>
          <t>FY2023</t>
        </is>
      </c>
      <c r="F38" s="10" t="inlineStr">
        <is>
          <t>restated</t>
        </is>
      </c>
      <c r="G38" s="11" t="n">
        <v>-20</v>
      </c>
      <c r="H38" s="10" t="inlineStr">
        <is>
          <t>millions</t>
        </is>
      </c>
      <c r="I38" s="10" t="inlineStr">
        <is>
          <t>currency</t>
        </is>
      </c>
      <c r="J38" s="10" t="inlineStr">
        <is>
          <t>ZAR</t>
        </is>
      </c>
      <c r="K38" s="10" t="n">
        <v>23</v>
      </c>
      <c r="L38" s="12" t="n"/>
      <c r="M38" s="10" t="inlineStr">
        <is>
          <t>investment_convertible_loans</t>
        </is>
      </c>
      <c r="N38" s="10" t="inlineStr"/>
    </row>
    <row r="39">
      <c r="A39" s="10" t="n">
        <v>35</v>
      </c>
      <c r="B39" s="10" t="inlineStr">
        <is>
          <t>cash_flow</t>
        </is>
      </c>
      <c r="C39" s="10" t="inlineStr"/>
      <c r="D39" s="10" t="inlineStr">
        <is>
          <t>Payment for investments at fair value through other comprehensive income</t>
        </is>
      </c>
      <c r="E39" s="10" t="inlineStr">
        <is>
          <t>FY2024</t>
        </is>
      </c>
      <c r="F39" s="10" t="inlineStr">
        <is>
          <t>as_reported</t>
        </is>
      </c>
      <c r="G39" s="11" t="n">
        <v>-4</v>
      </c>
      <c r="H39" s="10" t="inlineStr">
        <is>
          <t>millions</t>
        </is>
      </c>
      <c r="I39" s="10" t="inlineStr">
        <is>
          <t>currency</t>
        </is>
      </c>
      <c r="J39" s="10" t="inlineStr">
        <is>
          <t>ZAR</t>
        </is>
      </c>
      <c r="K39" s="10" t="n">
        <v>23</v>
      </c>
      <c r="L39" s="12" t="n"/>
      <c r="M39" s="10" t="inlineStr">
        <is>
          <t>payment_investments_fvoci</t>
        </is>
      </c>
      <c r="N39" s="10" t="inlineStr"/>
    </row>
    <row r="40">
      <c r="A40" s="10" t="n">
        <v>36</v>
      </c>
      <c r="B40" s="10" t="inlineStr">
        <is>
          <t>cash_flow</t>
        </is>
      </c>
      <c r="C40" s="10" t="inlineStr"/>
      <c r="D40" s="10" t="inlineStr">
        <is>
          <t>Payment for investments at fair value through other comprehensive income</t>
        </is>
      </c>
      <c r="E40" s="10" t="inlineStr">
        <is>
          <t>FY2023</t>
        </is>
      </c>
      <c r="F40" s="10" t="inlineStr">
        <is>
          <t>restated</t>
        </is>
      </c>
      <c r="G40" s="11" t="n">
        <v>0</v>
      </c>
      <c r="H40" s="10" t="inlineStr">
        <is>
          <t>millions</t>
        </is>
      </c>
      <c r="I40" s="10" t="inlineStr">
        <is>
          <t>currency</t>
        </is>
      </c>
      <c r="J40" s="10" t="inlineStr">
        <is>
          <t>ZAR</t>
        </is>
      </c>
      <c r="K40" s="10" t="n">
        <v>23</v>
      </c>
      <c r="L40" s="12" t="n"/>
      <c r="M40" s="10" t="inlineStr">
        <is>
          <t>payment_investments_fvoci</t>
        </is>
      </c>
      <c r="N40" s="10" t="inlineStr"/>
    </row>
    <row r="41">
      <c r="A41" s="10" t="n">
        <v>37</v>
      </c>
      <c r="B41" s="10" t="inlineStr">
        <is>
          <t>cash_flow</t>
        </is>
      </c>
      <c r="C41" s="10" t="inlineStr"/>
      <c r="D41" s="10" t="inlineStr">
        <is>
          <t>Proceeds on disposal of property, plant and equipment and intangible assets</t>
        </is>
      </c>
      <c r="E41" s="10" t="inlineStr">
        <is>
          <t>FY2024</t>
        </is>
      </c>
      <c r="F41" s="10" t="inlineStr">
        <is>
          <t>as_reported</t>
        </is>
      </c>
      <c r="G41" s="11" t="n">
        <v>400</v>
      </c>
      <c r="H41" s="10" t="inlineStr">
        <is>
          <t>millions</t>
        </is>
      </c>
      <c r="I41" s="10" t="inlineStr">
        <is>
          <t>currency</t>
        </is>
      </c>
      <c r="J41" s="10" t="inlineStr">
        <is>
          <t>ZAR</t>
        </is>
      </c>
      <c r="K41" s="10" t="n">
        <v>23</v>
      </c>
      <c r="L41" s="12" t="n"/>
      <c r="M41" s="10" t="inlineStr">
        <is>
          <t>proceeds_disposal_ppe</t>
        </is>
      </c>
      <c r="N41" s="10" t="inlineStr"/>
    </row>
    <row r="42">
      <c r="A42" s="10" t="n">
        <v>38</v>
      </c>
      <c r="B42" s="10" t="inlineStr">
        <is>
          <t>cash_flow</t>
        </is>
      </c>
      <c r="C42" s="10" t="inlineStr"/>
      <c r="D42" s="10" t="inlineStr">
        <is>
          <t>Proceeds on disposal of property, plant and equipment and intangible assets</t>
        </is>
      </c>
      <c r="E42" s="10" t="inlineStr">
        <is>
          <t>FY2023</t>
        </is>
      </c>
      <c r="F42" s="10" t="inlineStr">
        <is>
          <t>restated</t>
        </is>
      </c>
      <c r="G42" s="11" t="n">
        <v>1045</v>
      </c>
      <c r="H42" s="10" t="inlineStr">
        <is>
          <t>millions</t>
        </is>
      </c>
      <c r="I42" s="10" t="inlineStr">
        <is>
          <t>currency</t>
        </is>
      </c>
      <c r="J42" s="10" t="inlineStr">
        <is>
          <t>ZAR</t>
        </is>
      </c>
      <c r="K42" s="10" t="n">
        <v>23</v>
      </c>
      <c r="L42" s="12" t="n"/>
      <c r="M42" s="10" t="inlineStr">
        <is>
          <t>proceeds_disposal_ppe</t>
        </is>
      </c>
      <c r="N42" s="10" t="inlineStr"/>
    </row>
    <row r="43">
      <c r="A43" s="10" t="n">
        <v>39</v>
      </c>
      <c r="B43" s="10" t="inlineStr">
        <is>
          <t>cash_flow</t>
        </is>
      </c>
      <c r="C43" s="10" t="inlineStr">
        <is>
          <t>35.2</t>
        </is>
      </c>
      <c r="D43" s="10" t="inlineStr">
        <is>
          <t>Cash inflows as a result of the disposal of discontinued operations</t>
        </is>
      </c>
      <c r="E43" s="10" t="inlineStr">
        <is>
          <t>FY2024</t>
        </is>
      </c>
      <c r="F43" s="10" t="inlineStr">
        <is>
          <t>as_reported</t>
        </is>
      </c>
      <c r="G43" s="11" t="n">
        <v>39</v>
      </c>
      <c r="H43" s="10" t="inlineStr">
        <is>
          <t>millions</t>
        </is>
      </c>
      <c r="I43" s="10" t="inlineStr">
        <is>
          <t>currency</t>
        </is>
      </c>
      <c r="J43" s="10" t="inlineStr">
        <is>
          <t>ZAR</t>
        </is>
      </c>
      <c r="K43" s="10" t="n">
        <v>23</v>
      </c>
      <c r="L43" s="12" t="n"/>
      <c r="M43" s="10" t="inlineStr">
        <is>
          <t>proceeds_disposal_discontinued</t>
        </is>
      </c>
      <c r="N43" s="10" t="inlineStr"/>
    </row>
    <row r="44">
      <c r="A44" s="10" t="n">
        <v>40</v>
      </c>
      <c r="B44" s="10" t="inlineStr">
        <is>
          <t>cash_flow</t>
        </is>
      </c>
      <c r="C44" s="10" t="inlineStr">
        <is>
          <t>35.2</t>
        </is>
      </c>
      <c r="D44" s="10" t="inlineStr">
        <is>
          <t>Cash inflows as a result of the disposal of discontinued operations</t>
        </is>
      </c>
      <c r="E44" s="10" t="inlineStr">
        <is>
          <t>FY2023</t>
        </is>
      </c>
      <c r="F44" s="10" t="inlineStr">
        <is>
          <t>restated</t>
        </is>
      </c>
      <c r="G44" s="11" t="n">
        <v>49</v>
      </c>
      <c r="H44" s="10" t="inlineStr">
        <is>
          <t>millions</t>
        </is>
      </c>
      <c r="I44" s="10" t="inlineStr">
        <is>
          <t>currency</t>
        </is>
      </c>
      <c r="J44" s="10" t="inlineStr">
        <is>
          <t>ZAR</t>
        </is>
      </c>
      <c r="K44" s="10" t="n">
        <v>23</v>
      </c>
      <c r="L44" s="12" t="n"/>
      <c r="M44" s="10" t="inlineStr">
        <is>
          <t>proceeds_disposal_discontinued</t>
        </is>
      </c>
      <c r="N44" s="10" t="inlineStr"/>
    </row>
    <row r="45">
      <c r="A45" s="10" t="n">
        <v>41</v>
      </c>
      <c r="B45" s="10" t="inlineStr">
        <is>
          <t>cash_flow</t>
        </is>
      </c>
      <c r="C45" s="10" t="inlineStr"/>
      <c r="D45" s="10" t="inlineStr">
        <is>
          <t>Proceeds on disposal of assets classified as held for sale</t>
        </is>
      </c>
      <c r="E45" s="10" t="inlineStr">
        <is>
          <t>FY2024</t>
        </is>
      </c>
      <c r="F45" s="10" t="inlineStr">
        <is>
          <t>as_reported</t>
        </is>
      </c>
      <c r="G45" s="11" t="n">
        <v>368</v>
      </c>
      <c r="H45" s="10" t="inlineStr">
        <is>
          <t>millions</t>
        </is>
      </c>
      <c r="I45" s="10" t="inlineStr">
        <is>
          <t>currency</t>
        </is>
      </c>
      <c r="J45" s="10" t="inlineStr">
        <is>
          <t>ZAR</t>
        </is>
      </c>
      <c r="K45" s="10" t="n">
        <v>23</v>
      </c>
      <c r="L45" s="12" t="n"/>
      <c r="M45" s="10" t="inlineStr">
        <is>
          <t>proceeds_disposal_held_for_sale</t>
        </is>
      </c>
      <c r="N45" s="10" t="inlineStr"/>
    </row>
    <row r="46">
      <c r="A46" s="10" t="n">
        <v>42</v>
      </c>
      <c r="B46" s="10" t="inlineStr">
        <is>
          <t>cash_flow</t>
        </is>
      </c>
      <c r="C46" s="10" t="inlineStr"/>
      <c r="D46" s="10" t="inlineStr">
        <is>
          <t>Proceeds on disposal of assets classified as held for sale</t>
        </is>
      </c>
      <c r="E46" s="10" t="inlineStr">
        <is>
          <t>FY2023</t>
        </is>
      </c>
      <c r="F46" s="10" t="inlineStr">
        <is>
          <t>restated</t>
        </is>
      </c>
      <c r="G46" s="11" t="n">
        <v>331</v>
      </c>
      <c r="H46" s="10" t="inlineStr">
        <is>
          <t>millions</t>
        </is>
      </c>
      <c r="I46" s="10" t="inlineStr">
        <is>
          <t>currency</t>
        </is>
      </c>
      <c r="J46" s="10" t="inlineStr">
        <is>
          <t>ZAR</t>
        </is>
      </c>
      <c r="K46" s="10" t="n">
        <v>23</v>
      </c>
      <c r="L46" s="12" t="n"/>
      <c r="M46" s="10" t="inlineStr">
        <is>
          <t>proceeds_disposal_held_for_sale</t>
        </is>
      </c>
      <c r="N46" s="10" t="inlineStr"/>
    </row>
    <row r="47">
      <c r="A47" s="10" t="n">
        <v>43</v>
      </c>
      <c r="B47" s="10" t="inlineStr">
        <is>
          <t>cash_flow</t>
        </is>
      </c>
      <c r="C47" s="10" t="inlineStr"/>
      <c r="D47" s="10" t="inlineStr">
        <is>
          <t>Proceeds from insurance recovery for property, plant and equipment relating to social unrest</t>
        </is>
      </c>
      <c r="E47" s="10" t="inlineStr">
        <is>
          <t>FY2024</t>
        </is>
      </c>
      <c r="F47" s="10" t="inlineStr">
        <is>
          <t>as_reported</t>
        </is>
      </c>
      <c r="G47" s="11" t="n">
        <v>0</v>
      </c>
      <c r="H47" s="10" t="inlineStr">
        <is>
          <t>millions</t>
        </is>
      </c>
      <c r="I47" s="10" t="inlineStr">
        <is>
          <t>currency</t>
        </is>
      </c>
      <c r="J47" s="10" t="inlineStr">
        <is>
          <t>ZAR</t>
        </is>
      </c>
      <c r="K47" s="10" t="n">
        <v>23</v>
      </c>
      <c r="L47" s="12" t="n"/>
      <c r="M47" s="10" t="inlineStr">
        <is>
          <t>insurance_recovery_social_unrest</t>
        </is>
      </c>
      <c r="N47" s="10" t="inlineStr">
        <is>
          <t>Present in FY2024, ABSENT from FY2025 - one-off items come and go</t>
        </is>
      </c>
    </row>
    <row r="48">
      <c r="A48" s="10" t="n">
        <v>44</v>
      </c>
      <c r="B48" s="10" t="inlineStr">
        <is>
          <t>cash_flow</t>
        </is>
      </c>
      <c r="C48" s="10" t="inlineStr"/>
      <c r="D48" s="10" t="inlineStr">
        <is>
          <t>Proceeds from insurance recovery for property, plant and equipment relating to social unrest</t>
        </is>
      </c>
      <c r="E48" s="10" t="inlineStr">
        <is>
          <t>FY2023</t>
        </is>
      </c>
      <c r="F48" s="10" t="inlineStr">
        <is>
          <t>restated</t>
        </is>
      </c>
      <c r="G48" s="11" t="n">
        <v>7</v>
      </c>
      <c r="H48" s="10" t="inlineStr">
        <is>
          <t>millions</t>
        </is>
      </c>
      <c r="I48" s="10" t="inlineStr">
        <is>
          <t>currency</t>
        </is>
      </c>
      <c r="J48" s="10" t="inlineStr">
        <is>
          <t>ZAR</t>
        </is>
      </c>
      <c r="K48" s="10" t="n">
        <v>23</v>
      </c>
      <c r="L48" s="12" t="n"/>
      <c r="M48" s="10" t="inlineStr">
        <is>
          <t>insurance_recovery_social_unrest</t>
        </is>
      </c>
      <c r="N48" s="10" t="inlineStr"/>
    </row>
    <row r="49">
      <c r="A49" s="10" t="n">
        <v>45</v>
      </c>
      <c r="B49" s="10" t="inlineStr">
        <is>
          <t>cash_flow</t>
        </is>
      </c>
      <c r="C49" s="10" t="inlineStr"/>
      <c r="D49" s="10" t="inlineStr">
        <is>
          <t>Payments for government bonds and bills</t>
        </is>
      </c>
      <c r="E49" s="10" t="inlineStr">
        <is>
          <t>FY2024</t>
        </is>
      </c>
      <c r="F49" s="10" t="inlineStr">
        <is>
          <t>as_reported</t>
        </is>
      </c>
      <c r="G49" s="11" t="n">
        <v>-339</v>
      </c>
      <c r="H49" s="10" t="inlineStr">
        <is>
          <t>millions</t>
        </is>
      </c>
      <c r="I49" s="10" t="inlineStr">
        <is>
          <t>currency</t>
        </is>
      </c>
      <c r="J49" s="10" t="inlineStr">
        <is>
          <t>ZAR</t>
        </is>
      </c>
      <c r="K49" s="10" t="n">
        <v>23</v>
      </c>
      <c r="L49" s="12" t="n"/>
      <c r="M49" s="10" t="inlineStr">
        <is>
          <t>payments_government_bonds</t>
        </is>
      </c>
      <c r="N49" s="10" t="inlineStr"/>
    </row>
    <row r="50">
      <c r="A50" s="10" t="n">
        <v>46</v>
      </c>
      <c r="B50" s="10" t="inlineStr">
        <is>
          <t>cash_flow</t>
        </is>
      </c>
      <c r="C50" s="10" t="inlineStr"/>
      <c r="D50" s="10" t="inlineStr">
        <is>
          <t>Payments for government bonds and bills</t>
        </is>
      </c>
      <c r="E50" s="10" t="inlineStr">
        <is>
          <t>FY2023</t>
        </is>
      </c>
      <c r="F50" s="10" t="inlineStr">
        <is>
          <t>restated</t>
        </is>
      </c>
      <c r="G50" s="11" t="n">
        <v>-679</v>
      </c>
      <c r="H50" s="10" t="inlineStr">
        <is>
          <t>millions</t>
        </is>
      </c>
      <c r="I50" s="10" t="inlineStr">
        <is>
          <t>currency</t>
        </is>
      </c>
      <c r="J50" s="10" t="inlineStr">
        <is>
          <t>ZAR</t>
        </is>
      </c>
      <c r="K50" s="10" t="n">
        <v>23</v>
      </c>
      <c r="L50" s="12" t="n"/>
      <c r="M50" s="10" t="inlineStr">
        <is>
          <t>payments_government_bonds</t>
        </is>
      </c>
      <c r="N50" s="10" t="inlineStr"/>
    </row>
    <row r="51">
      <c r="A51" s="10" t="n">
        <v>47</v>
      </c>
      <c r="B51" s="10" t="inlineStr">
        <is>
          <t>cash_flow</t>
        </is>
      </c>
      <c r="C51" s="10" t="inlineStr"/>
      <c r="D51" s="10" t="inlineStr">
        <is>
          <t>Proceeds from government bonds and bills</t>
        </is>
      </c>
      <c r="E51" s="10" t="inlineStr">
        <is>
          <t>FY2024</t>
        </is>
      </c>
      <c r="F51" s="10" t="inlineStr">
        <is>
          <t>as_reported</t>
        </is>
      </c>
      <c r="G51" s="11" t="n">
        <v>523</v>
      </c>
      <c r="H51" s="10" t="inlineStr">
        <is>
          <t>millions</t>
        </is>
      </c>
      <c r="I51" s="10" t="inlineStr">
        <is>
          <t>currency</t>
        </is>
      </c>
      <c r="J51" s="10" t="inlineStr">
        <is>
          <t>ZAR</t>
        </is>
      </c>
      <c r="K51" s="10" t="n">
        <v>23</v>
      </c>
      <c r="L51" s="12" t="n"/>
      <c r="M51" s="10" t="inlineStr">
        <is>
          <t>proceeds_government_bonds</t>
        </is>
      </c>
      <c r="N51" s="10" t="inlineStr"/>
    </row>
    <row r="52">
      <c r="A52" s="10" t="n">
        <v>48</v>
      </c>
      <c r="B52" s="10" t="inlineStr">
        <is>
          <t>cash_flow</t>
        </is>
      </c>
      <c r="C52" s="10" t="inlineStr"/>
      <c r="D52" s="10" t="inlineStr">
        <is>
          <t>Proceeds from government bonds and bills</t>
        </is>
      </c>
      <c r="E52" s="10" t="inlineStr">
        <is>
          <t>FY2023</t>
        </is>
      </c>
      <c r="F52" s="10" t="inlineStr">
        <is>
          <t>restated</t>
        </is>
      </c>
      <c r="G52" s="11" t="n">
        <v>664</v>
      </c>
      <c r="H52" s="10" t="inlineStr">
        <is>
          <t>millions</t>
        </is>
      </c>
      <c r="I52" s="10" t="inlineStr">
        <is>
          <t>currency</t>
        </is>
      </c>
      <c r="J52" s="10" t="inlineStr">
        <is>
          <t>ZAR</t>
        </is>
      </c>
      <c r="K52" s="10" t="n">
        <v>23</v>
      </c>
      <c r="L52" s="12" t="n"/>
      <c r="M52" s="10" t="inlineStr">
        <is>
          <t>proceeds_government_bonds</t>
        </is>
      </c>
      <c r="N52" s="10" t="inlineStr"/>
    </row>
    <row r="53">
      <c r="A53" s="10" t="n">
        <v>49</v>
      </c>
      <c r="B53" s="10" t="inlineStr">
        <is>
          <t>cash_flow</t>
        </is>
      </c>
      <c r="C53" s="10" t="inlineStr"/>
      <c r="D53" s="10" t="inlineStr">
        <is>
          <t>Loans receivable advanced</t>
        </is>
      </c>
      <c r="E53" s="10" t="inlineStr">
        <is>
          <t>FY2024</t>
        </is>
      </c>
      <c r="F53" s="10" t="inlineStr">
        <is>
          <t>as_reported</t>
        </is>
      </c>
      <c r="G53" s="11" t="n">
        <v>-663</v>
      </c>
      <c r="H53" s="10" t="inlineStr">
        <is>
          <t>millions</t>
        </is>
      </c>
      <c r="I53" s="10" t="inlineStr">
        <is>
          <t>currency</t>
        </is>
      </c>
      <c r="J53" s="10" t="inlineStr">
        <is>
          <t>ZAR</t>
        </is>
      </c>
      <c r="K53" s="10" t="n">
        <v>23</v>
      </c>
      <c r="L53" s="12" t="n"/>
      <c r="M53" s="10" t="inlineStr">
        <is>
          <t>loans_advanced</t>
        </is>
      </c>
      <c r="N53" s="10" t="inlineStr"/>
    </row>
    <row r="54">
      <c r="A54" s="10" t="n">
        <v>50</v>
      </c>
      <c r="B54" s="10" t="inlineStr">
        <is>
          <t>cash_flow</t>
        </is>
      </c>
      <c r="C54" s="10" t="inlineStr"/>
      <c r="D54" s="10" t="inlineStr">
        <is>
          <t>Loans receivable advanced</t>
        </is>
      </c>
      <c r="E54" s="10" t="inlineStr">
        <is>
          <t>FY2023</t>
        </is>
      </c>
      <c r="F54" s="10" t="inlineStr">
        <is>
          <t>restated</t>
        </is>
      </c>
      <c r="G54" s="11" t="n">
        <v>-177</v>
      </c>
      <c r="H54" s="10" t="inlineStr">
        <is>
          <t>millions</t>
        </is>
      </c>
      <c r="I54" s="10" t="inlineStr">
        <is>
          <t>currency</t>
        </is>
      </c>
      <c r="J54" s="10" t="inlineStr">
        <is>
          <t>ZAR</t>
        </is>
      </c>
      <c r="K54" s="10" t="n">
        <v>23</v>
      </c>
      <c r="L54" s="12" t="n"/>
      <c r="M54" s="10" t="inlineStr">
        <is>
          <t>loans_advanced</t>
        </is>
      </c>
      <c r="N54" s="10" t="inlineStr"/>
    </row>
    <row r="55">
      <c r="A55" s="10" t="n">
        <v>51</v>
      </c>
      <c r="B55" s="10" t="inlineStr">
        <is>
          <t>cash_flow</t>
        </is>
      </c>
      <c r="C55" s="10" t="inlineStr"/>
      <c r="D55" s="10" t="inlineStr">
        <is>
          <t>Loans receivable repaid</t>
        </is>
      </c>
      <c r="E55" s="10" t="inlineStr">
        <is>
          <t>FY2024</t>
        </is>
      </c>
      <c r="F55" s="10" t="inlineStr">
        <is>
          <t>as_reported</t>
        </is>
      </c>
      <c r="G55" s="11" t="n">
        <v>593</v>
      </c>
      <c r="H55" s="10" t="inlineStr">
        <is>
          <t>millions</t>
        </is>
      </c>
      <c r="I55" s="10" t="inlineStr">
        <is>
          <t>currency</t>
        </is>
      </c>
      <c r="J55" s="10" t="inlineStr">
        <is>
          <t>ZAR</t>
        </is>
      </c>
      <c r="K55" s="10" t="n">
        <v>23</v>
      </c>
      <c r="L55" s="12" t="n"/>
      <c r="M55" s="10" t="inlineStr">
        <is>
          <t>loans_repaid</t>
        </is>
      </c>
      <c r="N55" s="10" t="inlineStr"/>
    </row>
    <row r="56">
      <c r="A56" s="10" t="n">
        <v>52</v>
      </c>
      <c r="B56" s="10" t="inlineStr">
        <is>
          <t>cash_flow</t>
        </is>
      </c>
      <c r="C56" s="10" t="inlineStr"/>
      <c r="D56" s="10" t="inlineStr">
        <is>
          <t>Loans receivable repaid</t>
        </is>
      </c>
      <c r="E56" s="10" t="inlineStr">
        <is>
          <t>FY2023</t>
        </is>
      </c>
      <c r="F56" s="10" t="inlineStr">
        <is>
          <t>restated</t>
        </is>
      </c>
      <c r="G56" s="11" t="n">
        <v>257</v>
      </c>
      <c r="H56" s="10" t="inlineStr">
        <is>
          <t>millions</t>
        </is>
      </c>
      <c r="I56" s="10" t="inlineStr">
        <is>
          <t>currency</t>
        </is>
      </c>
      <c r="J56" s="10" t="inlineStr">
        <is>
          <t>ZAR</t>
        </is>
      </c>
      <c r="K56" s="10" t="n">
        <v>23</v>
      </c>
      <c r="L56" s="12" t="n"/>
      <c r="M56" s="10" t="inlineStr">
        <is>
          <t>loans_repaid</t>
        </is>
      </c>
      <c r="N56" s="10" t="inlineStr"/>
    </row>
    <row r="57">
      <c r="A57" s="10" t="n">
        <v>53</v>
      </c>
      <c r="B57" s="10" t="inlineStr">
        <is>
          <t>cash_flow</t>
        </is>
      </c>
      <c r="C57" s="10" t="inlineStr"/>
      <c r="D57" s="10" t="inlineStr">
        <is>
          <t>Decrease/(increase) in ring-fenced Angola tax guarantees</t>
        </is>
      </c>
      <c r="E57" s="10" t="inlineStr">
        <is>
          <t>FY2024</t>
        </is>
      </c>
      <c r="F57" s="10" t="inlineStr">
        <is>
          <t>as_reported</t>
        </is>
      </c>
      <c r="G57" s="11" t="n">
        <v>285</v>
      </c>
      <c r="H57" s="10" t="inlineStr">
        <is>
          <t>millions</t>
        </is>
      </c>
      <c r="I57" s="10" t="inlineStr">
        <is>
          <t>currency</t>
        </is>
      </c>
      <c r="J57" s="10" t="inlineStr">
        <is>
          <t>ZAR</t>
        </is>
      </c>
      <c r="K57" s="10" t="n">
        <v>23</v>
      </c>
      <c r="L57" s="12" t="n"/>
      <c r="M57" s="10" t="inlineStr">
        <is>
          <t>angola_tax_guarantees</t>
        </is>
      </c>
      <c r="N57" s="10" t="inlineStr"/>
    </row>
    <row r="58">
      <c r="A58" s="10" t="n">
        <v>54</v>
      </c>
      <c r="B58" s="10" t="inlineStr">
        <is>
          <t>cash_flow</t>
        </is>
      </c>
      <c r="C58" s="10" t="inlineStr"/>
      <c r="D58" s="10" t="inlineStr">
        <is>
          <t>Decrease/(increase) in ring-fenced Angola tax guarantees</t>
        </is>
      </c>
      <c r="E58" s="10" t="inlineStr">
        <is>
          <t>FY2023</t>
        </is>
      </c>
      <c r="F58" s="10" t="inlineStr">
        <is>
          <t>restated</t>
        </is>
      </c>
      <c r="G58" s="11" t="n">
        <v>-292</v>
      </c>
      <c r="H58" s="10" t="inlineStr">
        <is>
          <t>millions</t>
        </is>
      </c>
      <c r="I58" s="10" t="inlineStr">
        <is>
          <t>currency</t>
        </is>
      </c>
      <c r="J58" s="10" t="inlineStr">
        <is>
          <t>ZAR</t>
        </is>
      </c>
      <c r="K58" s="10" t="n">
        <v>23</v>
      </c>
      <c r="L58" s="12" t="n"/>
      <c r="M58" s="10" t="inlineStr">
        <is>
          <t>angola_tax_guarantees</t>
        </is>
      </c>
      <c r="N58" s="10" t="inlineStr"/>
    </row>
    <row r="59">
      <c r="A59" s="10" t="n">
        <v>55</v>
      </c>
      <c r="B59" s="10" t="inlineStr">
        <is>
          <t>cash_flow</t>
        </is>
      </c>
      <c r="C59" s="10" t="inlineStr">
        <is>
          <t>9</t>
        </is>
      </c>
      <c r="D59" s="10" t="inlineStr">
        <is>
          <t>Investment in associate</t>
        </is>
      </c>
      <c r="E59" s="10" t="inlineStr">
        <is>
          <t>FY2024</t>
        </is>
      </c>
      <c r="F59" s="10" t="inlineStr">
        <is>
          <t>as_reported</t>
        </is>
      </c>
      <c r="G59" s="11" t="n">
        <v>-119</v>
      </c>
      <c r="H59" s="10" t="inlineStr">
        <is>
          <t>millions</t>
        </is>
      </c>
      <c r="I59" s="10" t="inlineStr">
        <is>
          <t>currency</t>
        </is>
      </c>
      <c r="J59" s="10" t="inlineStr">
        <is>
          <t>ZAR</t>
        </is>
      </c>
      <c r="K59" s="10" t="n">
        <v>23</v>
      </c>
      <c r="L59" s="12" t="n"/>
      <c r="M59" s="10" t="inlineStr">
        <is>
          <t>investment_in_associate</t>
        </is>
      </c>
      <c r="N59" s="10" t="inlineStr"/>
    </row>
    <row r="60">
      <c r="A60" s="10" t="n">
        <v>56</v>
      </c>
      <c r="B60" s="10" t="inlineStr">
        <is>
          <t>cash_flow</t>
        </is>
      </c>
      <c r="C60" s="10" t="inlineStr">
        <is>
          <t>9</t>
        </is>
      </c>
      <c r="D60" s="10" t="inlineStr">
        <is>
          <t>Investment in associate</t>
        </is>
      </c>
      <c r="E60" s="10" t="inlineStr">
        <is>
          <t>FY2023</t>
        </is>
      </c>
      <c r="F60" s="10" t="inlineStr">
        <is>
          <t>restated</t>
        </is>
      </c>
      <c r="G60" s="11" t="n">
        <v>-13</v>
      </c>
      <c r="H60" s="10" t="inlineStr">
        <is>
          <t>millions</t>
        </is>
      </c>
      <c r="I60" s="10" t="inlineStr">
        <is>
          <t>currency</t>
        </is>
      </c>
      <c r="J60" s="10" t="inlineStr">
        <is>
          <t>ZAR</t>
        </is>
      </c>
      <c r="K60" s="10" t="n">
        <v>23</v>
      </c>
      <c r="L60" s="12" t="n"/>
      <c r="M60" s="10" t="inlineStr">
        <is>
          <t>investment_in_associate</t>
        </is>
      </c>
      <c r="N60" s="10" t="inlineStr"/>
    </row>
    <row r="61">
      <c r="A61" s="10" t="n">
        <v>57</v>
      </c>
      <c r="B61" s="10" t="inlineStr">
        <is>
          <t>cash_flow</t>
        </is>
      </c>
      <c r="C61" s="10" t="inlineStr">
        <is>
          <t>38.5</t>
        </is>
      </c>
      <c r="D61" s="10" t="inlineStr">
        <is>
          <t>Cash inflow on acquisition of subsidiaries</t>
        </is>
      </c>
      <c r="E61" s="10" t="inlineStr">
        <is>
          <t>FY2024</t>
        </is>
      </c>
      <c r="F61" s="10" t="inlineStr">
        <is>
          <t>as_reported</t>
        </is>
      </c>
      <c r="G61" s="11" t="n">
        <v>25</v>
      </c>
      <c r="H61" s="10" t="inlineStr">
        <is>
          <t>millions</t>
        </is>
      </c>
      <c r="I61" s="10" t="inlineStr">
        <is>
          <t>currency</t>
        </is>
      </c>
      <c r="J61" s="10" t="inlineStr">
        <is>
          <t>ZAR</t>
        </is>
      </c>
      <c r="K61" s="10" t="n">
        <v>23</v>
      </c>
      <c r="L61" s="12" t="n"/>
      <c r="M61" s="10" t="inlineStr">
        <is>
          <t>acquisition_subsidiaries_inflow</t>
        </is>
      </c>
      <c r="N61" s="10" t="inlineStr"/>
    </row>
    <row r="62">
      <c r="A62" s="10" t="n">
        <v>58</v>
      </c>
      <c r="B62" s="10" t="inlineStr">
        <is>
          <t>cash_flow</t>
        </is>
      </c>
      <c r="C62" s="10" t="inlineStr">
        <is>
          <t>38.5</t>
        </is>
      </c>
      <c r="D62" s="10" t="inlineStr">
        <is>
          <t>Cash inflow on acquisition of subsidiaries</t>
        </is>
      </c>
      <c r="E62" s="10" t="inlineStr">
        <is>
          <t>FY2023</t>
        </is>
      </c>
      <c r="F62" s="10" t="inlineStr">
        <is>
          <t>restated</t>
        </is>
      </c>
      <c r="G62" s="11" t="n">
        <v>0</v>
      </c>
      <c r="H62" s="10" t="inlineStr">
        <is>
          <t>millions</t>
        </is>
      </c>
      <c r="I62" s="10" t="inlineStr">
        <is>
          <t>currency</t>
        </is>
      </c>
      <c r="J62" s="10" t="inlineStr">
        <is>
          <t>ZAR</t>
        </is>
      </c>
      <c r="K62" s="10" t="n">
        <v>23</v>
      </c>
      <c r="L62" s="12" t="n"/>
      <c r="M62" s="10" t="inlineStr">
        <is>
          <t>acquisition_subsidiaries_inflow</t>
        </is>
      </c>
      <c r="N62" s="10" t="inlineStr"/>
    </row>
    <row r="63">
      <c r="A63" s="10" t="n">
        <v>59</v>
      </c>
      <c r="B63" s="10" t="inlineStr">
        <is>
          <t>cash_flow</t>
        </is>
      </c>
      <c r="C63" s="10" t="inlineStr">
        <is>
          <t>38.6</t>
        </is>
      </c>
      <c r="D63" s="10" t="inlineStr">
        <is>
          <t>Acquisition of select businesses from Massmart Holdings Ltd</t>
        </is>
      </c>
      <c r="E63" s="10" t="inlineStr">
        <is>
          <t>FY2024</t>
        </is>
      </c>
      <c r="F63" s="10" t="inlineStr">
        <is>
          <t>as_reported</t>
        </is>
      </c>
      <c r="G63" s="11" t="n">
        <v>0</v>
      </c>
      <c r="H63" s="10" t="inlineStr">
        <is>
          <t>millions</t>
        </is>
      </c>
      <c r="I63" s="10" t="inlineStr">
        <is>
          <t>currency</t>
        </is>
      </c>
      <c r="J63" s="10" t="inlineStr">
        <is>
          <t>ZAR</t>
        </is>
      </c>
      <c r="K63" s="10" t="n">
        <v>23</v>
      </c>
      <c r="L63" s="12" t="n"/>
      <c r="M63" s="10" t="inlineStr">
        <is>
          <t>acquisition_massmart</t>
        </is>
      </c>
      <c r="N63" s="10" t="inlineStr">
        <is>
          <t>Present in FY2024, ABSENT from FY2025 - one-off items come and go</t>
        </is>
      </c>
    </row>
    <row r="64">
      <c r="A64" s="10" t="n">
        <v>60</v>
      </c>
      <c r="B64" s="10" t="inlineStr">
        <is>
          <t>cash_flow</t>
        </is>
      </c>
      <c r="C64" s="10" t="inlineStr">
        <is>
          <t>38.6</t>
        </is>
      </c>
      <c r="D64" s="10" t="inlineStr">
        <is>
          <t>Acquisition of select businesses from Massmart Holdings Ltd</t>
        </is>
      </c>
      <c r="E64" s="10" t="inlineStr">
        <is>
          <t>FY2023</t>
        </is>
      </c>
      <c r="F64" s="10" t="inlineStr">
        <is>
          <t>restated</t>
        </is>
      </c>
      <c r="G64" s="11" t="n">
        <v>-630</v>
      </c>
      <c r="H64" s="10" t="inlineStr">
        <is>
          <t>millions</t>
        </is>
      </c>
      <c r="I64" s="10" t="inlineStr">
        <is>
          <t>currency</t>
        </is>
      </c>
      <c r="J64" s="10" t="inlineStr">
        <is>
          <t>ZAR</t>
        </is>
      </c>
      <c r="K64" s="10" t="n">
        <v>23</v>
      </c>
      <c r="L64" s="12" t="n"/>
      <c r="M64" s="10" t="inlineStr">
        <is>
          <t>acquisition_massmart</t>
        </is>
      </c>
      <c r="N64" s="10" t="inlineStr"/>
    </row>
    <row r="65">
      <c r="A65" s="10" t="n">
        <v>61</v>
      </c>
      <c r="B65" s="10" t="inlineStr">
        <is>
          <t>cash_flow</t>
        </is>
      </c>
      <c r="C65" s="10" t="inlineStr"/>
      <c r="D65" s="10" t="inlineStr">
        <is>
          <t>Acquisition of other operations</t>
        </is>
      </c>
      <c r="E65" s="10" t="inlineStr">
        <is>
          <t>FY2024</t>
        </is>
      </c>
      <c r="F65" s="10" t="inlineStr">
        <is>
          <t>as_reported</t>
        </is>
      </c>
      <c r="G65" s="11" t="n">
        <v>-69</v>
      </c>
      <c r="H65" s="10" t="inlineStr">
        <is>
          <t>millions</t>
        </is>
      </c>
      <c r="I65" s="10" t="inlineStr">
        <is>
          <t>currency</t>
        </is>
      </c>
      <c r="J65" s="10" t="inlineStr">
        <is>
          <t>ZAR</t>
        </is>
      </c>
      <c r="K65" s="10" t="n">
        <v>23</v>
      </c>
      <c r="L65" s="12" t="n"/>
      <c r="M65" s="10" t="inlineStr">
        <is>
          <t>acquisition_other_operations</t>
        </is>
      </c>
      <c r="N65" s="10" t="inlineStr"/>
    </row>
    <row r="66">
      <c r="A66" s="10" t="n">
        <v>62</v>
      </c>
      <c r="B66" s="10" t="inlineStr">
        <is>
          <t>cash_flow</t>
        </is>
      </c>
      <c r="C66" s="10" t="inlineStr"/>
      <c r="D66" s="10" t="inlineStr">
        <is>
          <t>Acquisition of other operations</t>
        </is>
      </c>
      <c r="E66" s="10" t="inlineStr">
        <is>
          <t>FY2023</t>
        </is>
      </c>
      <c r="F66" s="10" t="inlineStr">
        <is>
          <t>restated</t>
        </is>
      </c>
      <c r="G66" s="11" t="n">
        <v>-16</v>
      </c>
      <c r="H66" s="10" t="inlineStr">
        <is>
          <t>millions</t>
        </is>
      </c>
      <c r="I66" s="10" t="inlineStr">
        <is>
          <t>currency</t>
        </is>
      </c>
      <c r="J66" s="10" t="inlineStr">
        <is>
          <t>ZAR</t>
        </is>
      </c>
      <c r="K66" s="10" t="n">
        <v>23</v>
      </c>
      <c r="L66" s="12" t="n"/>
      <c r="M66" s="10" t="inlineStr">
        <is>
          <t>acquisition_other_operations</t>
        </is>
      </c>
      <c r="N66" s="10" t="inlineStr"/>
    </row>
    <row r="67">
      <c r="A67" s="10" t="n">
        <v>63</v>
      </c>
      <c r="B67" s="10" t="inlineStr">
        <is>
          <t>cash_flow</t>
        </is>
      </c>
      <c r="C67" s="10" t="inlineStr">
        <is>
          <t>38.7</t>
        </is>
      </c>
      <c r="D67" s="10" t="inlineStr">
        <is>
          <t>Cash outflow on disposal of investment in subsidiary</t>
        </is>
      </c>
      <c r="E67" s="10" t="inlineStr">
        <is>
          <t>FY2024</t>
        </is>
      </c>
      <c r="F67" s="10" t="inlineStr">
        <is>
          <t>as_reported</t>
        </is>
      </c>
      <c r="G67" s="11" t="n">
        <v>-51</v>
      </c>
      <c r="H67" s="10" t="inlineStr">
        <is>
          <t>millions</t>
        </is>
      </c>
      <c r="I67" s="10" t="inlineStr">
        <is>
          <t>currency</t>
        </is>
      </c>
      <c r="J67" s="10" t="inlineStr">
        <is>
          <t>ZAR</t>
        </is>
      </c>
      <c r="K67" s="10" t="n">
        <v>23</v>
      </c>
      <c r="L67" s="12" t="n"/>
      <c r="M67" s="10" t="inlineStr">
        <is>
          <t>disposal_subsidiary_outflow</t>
        </is>
      </c>
      <c r="N67" s="10" t="inlineStr"/>
    </row>
    <row r="68">
      <c r="A68" s="10" t="n">
        <v>64</v>
      </c>
      <c r="B68" s="10" t="inlineStr">
        <is>
          <t>cash_flow</t>
        </is>
      </c>
      <c r="C68" s="10" t="inlineStr">
        <is>
          <t>38.7</t>
        </is>
      </c>
      <c r="D68" s="10" t="inlineStr">
        <is>
          <t>Cash outflow on disposal of investment in subsidiary</t>
        </is>
      </c>
      <c r="E68" s="10" t="inlineStr">
        <is>
          <t>FY2023</t>
        </is>
      </c>
      <c r="F68" s="10" t="inlineStr">
        <is>
          <t>restated</t>
        </is>
      </c>
      <c r="G68" s="11" t="n">
        <v>0</v>
      </c>
      <c r="H68" s="10" t="inlineStr">
        <is>
          <t>millions</t>
        </is>
      </c>
      <c r="I68" s="10" t="inlineStr">
        <is>
          <t>currency</t>
        </is>
      </c>
      <c r="J68" s="10" t="inlineStr">
        <is>
          <t>ZAR</t>
        </is>
      </c>
      <c r="K68" s="10" t="n">
        <v>23</v>
      </c>
      <c r="L68" s="12" t="n"/>
      <c r="M68" s="10" t="inlineStr">
        <is>
          <t>disposal_subsidiary_outflow</t>
        </is>
      </c>
      <c r="N68" s="10" t="inlineStr"/>
    </row>
    <row r="69">
      <c r="A69" s="10" t="n">
        <v>65</v>
      </c>
      <c r="B69" s="10" t="inlineStr">
        <is>
          <t>cash_flow</t>
        </is>
      </c>
      <c r="C69" s="10" t="inlineStr"/>
      <c r="D69" s="10" t="inlineStr">
        <is>
          <t>Cash flows utilised by financing activities</t>
        </is>
      </c>
      <c r="E69" s="10" t="inlineStr">
        <is>
          <t>FY2024</t>
        </is>
      </c>
      <c r="F69" s="10" t="inlineStr">
        <is>
          <t>as_reported</t>
        </is>
      </c>
      <c r="G69" s="11" t="n">
        <v>-4012</v>
      </c>
      <c r="H69" s="10" t="inlineStr">
        <is>
          <t>millions</t>
        </is>
      </c>
      <c r="I69" s="10" t="inlineStr">
        <is>
          <t>currency</t>
        </is>
      </c>
      <c r="J69" s="10" t="inlineStr">
        <is>
          <t>ZAR</t>
        </is>
      </c>
      <c r="K69" s="10" t="n">
        <v>23</v>
      </c>
      <c r="L69" s="12" t="n"/>
      <c r="M69" s="10" t="inlineStr">
        <is>
          <t>cash_from_financing_activities</t>
        </is>
      </c>
      <c r="N69" s="10" t="inlineStr"/>
    </row>
    <row r="70">
      <c r="A70" s="10" t="n">
        <v>66</v>
      </c>
      <c r="B70" s="10" t="inlineStr">
        <is>
          <t>cash_flow</t>
        </is>
      </c>
      <c r="C70" s="10" t="inlineStr"/>
      <c r="D70" s="10" t="inlineStr">
        <is>
          <t>Cash flows utilised by financing activities</t>
        </is>
      </c>
      <c r="E70" s="10" t="inlineStr">
        <is>
          <t>FY2023</t>
        </is>
      </c>
      <c r="F70" s="10" t="inlineStr">
        <is>
          <t>restated</t>
        </is>
      </c>
      <c r="G70" s="11" t="n">
        <v>-2855</v>
      </c>
      <c r="H70" s="10" t="inlineStr">
        <is>
          <t>millions</t>
        </is>
      </c>
      <c r="I70" s="10" t="inlineStr">
        <is>
          <t>currency</t>
        </is>
      </c>
      <c r="J70" s="10" t="inlineStr">
        <is>
          <t>ZAR</t>
        </is>
      </c>
      <c r="K70" s="10" t="n">
        <v>23</v>
      </c>
      <c r="L70" s="12" t="n"/>
      <c r="M70" s="10" t="inlineStr">
        <is>
          <t>cash_from_financing_activities</t>
        </is>
      </c>
      <c r="N70" s="10" t="inlineStr"/>
    </row>
    <row r="71">
      <c r="A71" s="10" t="n">
        <v>67</v>
      </c>
      <c r="B71" s="10" t="inlineStr">
        <is>
          <t>cash_flow</t>
        </is>
      </c>
      <c r="C71" s="10" t="inlineStr">
        <is>
          <t>21</t>
        </is>
      </c>
      <c r="D71" s="10" t="inlineStr">
        <is>
          <t>Repayment of lease liability obligations</t>
        </is>
      </c>
      <c r="E71" s="10" t="inlineStr">
        <is>
          <t>FY2024</t>
        </is>
      </c>
      <c r="F71" s="10" t="inlineStr">
        <is>
          <t>as_reported</t>
        </is>
      </c>
      <c r="G71" s="11" t="n">
        <v>-3386</v>
      </c>
      <c r="H71" s="10" t="inlineStr">
        <is>
          <t>millions</t>
        </is>
      </c>
      <c r="I71" s="10" t="inlineStr">
        <is>
          <t>currency</t>
        </is>
      </c>
      <c r="J71" s="10" t="inlineStr">
        <is>
          <t>ZAR</t>
        </is>
      </c>
      <c r="K71" s="10" t="n">
        <v>23</v>
      </c>
      <c r="L71" s="12" t="n"/>
      <c r="M71" s="10" t="inlineStr">
        <is>
          <t>lease_repayments</t>
        </is>
      </c>
      <c r="N71" s="10" t="inlineStr"/>
    </row>
    <row r="72">
      <c r="A72" s="10" t="n">
        <v>68</v>
      </c>
      <c r="B72" s="10" t="inlineStr">
        <is>
          <t>cash_flow</t>
        </is>
      </c>
      <c r="C72" s="10" t="inlineStr">
        <is>
          <t>21</t>
        </is>
      </c>
      <c r="D72" s="10" t="inlineStr">
        <is>
          <t>Repayment of lease liability obligations</t>
        </is>
      </c>
      <c r="E72" s="10" t="inlineStr">
        <is>
          <t>FY2023</t>
        </is>
      </c>
      <c r="F72" s="10" t="inlineStr">
        <is>
          <t>restated</t>
        </is>
      </c>
      <c r="G72" s="11" t="n">
        <v>-3282</v>
      </c>
      <c r="H72" s="10" t="inlineStr">
        <is>
          <t>millions</t>
        </is>
      </c>
      <c r="I72" s="10" t="inlineStr">
        <is>
          <t>currency</t>
        </is>
      </c>
      <c r="J72" s="10" t="inlineStr">
        <is>
          <t>ZAR</t>
        </is>
      </c>
      <c r="K72" s="10" t="n">
        <v>23</v>
      </c>
      <c r="L72" s="12" t="n"/>
      <c r="M72" s="10" t="inlineStr">
        <is>
          <t>lease_repayments</t>
        </is>
      </c>
      <c r="N72" s="10" t="inlineStr"/>
    </row>
    <row r="73">
      <c r="A73" s="10" t="n">
        <v>69</v>
      </c>
      <c r="B73" s="10" t="inlineStr">
        <is>
          <t>cash_flow</t>
        </is>
      </c>
      <c r="C73" s="10" t="inlineStr"/>
      <c r="D73" s="10" t="inlineStr">
        <is>
          <t>Purchase of treasury shares</t>
        </is>
      </c>
      <c r="E73" s="10" t="inlineStr">
        <is>
          <t>FY2024</t>
        </is>
      </c>
      <c r="F73" s="10" t="inlineStr">
        <is>
          <t>as_reported</t>
        </is>
      </c>
      <c r="G73" s="11" t="n">
        <v>-239</v>
      </c>
      <c r="H73" s="10" t="inlineStr">
        <is>
          <t>millions</t>
        </is>
      </c>
      <c r="I73" s="10" t="inlineStr">
        <is>
          <t>currency</t>
        </is>
      </c>
      <c r="J73" s="10" t="inlineStr">
        <is>
          <t>ZAR</t>
        </is>
      </c>
      <c r="K73" s="10" t="n">
        <v>23</v>
      </c>
      <c r="L73" s="12" t="n"/>
      <c r="M73" s="10" t="inlineStr">
        <is>
          <t>treasury_share_purchases</t>
        </is>
      </c>
      <c r="N73" s="10" t="inlineStr"/>
    </row>
    <row r="74">
      <c r="A74" s="10" t="n">
        <v>70</v>
      </c>
      <c r="B74" s="10" t="inlineStr">
        <is>
          <t>cash_flow</t>
        </is>
      </c>
      <c r="C74" s="10" t="inlineStr"/>
      <c r="D74" s="10" t="inlineStr">
        <is>
          <t>Purchase of treasury shares</t>
        </is>
      </c>
      <c r="E74" s="10" t="inlineStr">
        <is>
          <t>FY2023</t>
        </is>
      </c>
      <c r="F74" s="10" t="inlineStr">
        <is>
          <t>restated</t>
        </is>
      </c>
      <c r="G74" s="11" t="n">
        <v>-318</v>
      </c>
      <c r="H74" s="10" t="inlineStr">
        <is>
          <t>millions</t>
        </is>
      </c>
      <c r="I74" s="10" t="inlineStr">
        <is>
          <t>currency</t>
        </is>
      </c>
      <c r="J74" s="10" t="inlineStr">
        <is>
          <t>ZAR</t>
        </is>
      </c>
      <c r="K74" s="10" t="n">
        <v>23</v>
      </c>
      <c r="L74" s="12" t="n"/>
      <c r="M74" s="10" t="inlineStr">
        <is>
          <t>treasury_share_purchases</t>
        </is>
      </c>
      <c r="N74" s="10" t="inlineStr"/>
    </row>
    <row r="75">
      <c r="A75" s="10" t="n">
        <v>71</v>
      </c>
      <c r="B75" s="10" t="inlineStr">
        <is>
          <t>cash_flow</t>
        </is>
      </c>
      <c r="C75" s="10" t="inlineStr"/>
      <c r="D75" s="10" t="inlineStr">
        <is>
          <t>Proceeds from treasury shares disposed</t>
        </is>
      </c>
      <c r="E75" s="10" t="inlineStr">
        <is>
          <t>FY2024</t>
        </is>
      </c>
      <c r="F75" s="10" t="inlineStr">
        <is>
          <t>as_reported</t>
        </is>
      </c>
      <c r="G75" s="11" t="n">
        <v>11</v>
      </c>
      <c r="H75" s="10" t="inlineStr">
        <is>
          <t>millions</t>
        </is>
      </c>
      <c r="I75" s="10" t="inlineStr">
        <is>
          <t>currency</t>
        </is>
      </c>
      <c r="J75" s="10" t="inlineStr">
        <is>
          <t>ZAR</t>
        </is>
      </c>
      <c r="K75" s="10" t="n">
        <v>23</v>
      </c>
      <c r="L75" s="12" t="n"/>
      <c r="M75" s="10" t="inlineStr">
        <is>
          <t>treasury_share_proceeds</t>
        </is>
      </c>
      <c r="N75" s="10" t="inlineStr"/>
    </row>
    <row r="76">
      <c r="A76" s="10" t="n">
        <v>72</v>
      </c>
      <c r="B76" s="10" t="inlineStr">
        <is>
          <t>cash_flow</t>
        </is>
      </c>
      <c r="C76" s="10" t="inlineStr"/>
      <c r="D76" s="10" t="inlineStr">
        <is>
          <t>Proceeds from treasury shares disposed</t>
        </is>
      </c>
      <c r="E76" s="10" t="inlineStr">
        <is>
          <t>FY2023</t>
        </is>
      </c>
      <c r="F76" s="10" t="inlineStr">
        <is>
          <t>restated</t>
        </is>
      </c>
      <c r="G76" s="11" t="n">
        <v>47</v>
      </c>
      <c r="H76" s="10" t="inlineStr">
        <is>
          <t>millions</t>
        </is>
      </c>
      <c r="I76" s="10" t="inlineStr">
        <is>
          <t>currency</t>
        </is>
      </c>
      <c r="J76" s="10" t="inlineStr">
        <is>
          <t>ZAR</t>
        </is>
      </c>
      <c r="K76" s="10" t="n">
        <v>23</v>
      </c>
      <c r="L76" s="12" t="n"/>
      <c r="M76" s="10" t="inlineStr">
        <is>
          <t>treasury_share_proceeds</t>
        </is>
      </c>
      <c r="N76" s="10" t="inlineStr"/>
    </row>
  </sheetData>
  <autoFilter ref="A4:N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9" customWidth="1" min="3" max="3"/>
    <col width="56" customWidth="1" min="4" max="4"/>
    <col width="9" customWidth="1" min="5" max="5"/>
    <col width="13" customWidth="1" min="6" max="6"/>
    <col width="15" customWidth="1" min="7" max="7"/>
    <col width="11" customWidth="1" min="8" max="8"/>
    <col width="10" customWidth="1" min="9" max="9"/>
    <col width="9" customWidth="1" min="10" max="10"/>
    <col width="10" customWidth="1" min="11" max="11"/>
    <col width="9" customWidth="1" min="12" max="12"/>
    <col width="30" customWidth="1" min="13" max="13"/>
    <col width="52" customWidth="1" min="14" max="14"/>
  </cols>
  <sheetData>
    <row r="1">
      <c r="A1" s="6" t="inlineStr">
        <is>
          <t>M2.8/2.10  Headline earnings reconciliation (note 36) - FY2024 as originally reported</t>
        </is>
      </c>
    </row>
    <row r="2">
      <c r="A2" s="7" t="inlineStr">
        <is>
          <t>Source: Shoprite Holdings Ltd, Annual Financial Statements 2024 (52 weeks ended 30 June 2024), file shp-afs-2024-print.pdf. pdf_page is the PDF page index, pre-filled. VERIFY each value against that page, then set verified to Y.</t>
        </is>
      </c>
    </row>
    <row r="4">
      <c r="A4" s="9" t="inlineStr">
        <is>
          <t>row_id</t>
        </is>
      </c>
      <c r="B4" s="9" t="inlineStr">
        <is>
          <t>statement</t>
        </is>
      </c>
      <c r="C4" s="9" t="inlineStr">
        <is>
          <t>note_ref</t>
        </is>
      </c>
      <c r="D4" s="9" t="inlineStr">
        <is>
          <t>as_reported_label</t>
        </is>
      </c>
      <c r="E4" s="9" t="inlineStr">
        <is>
          <t>period</t>
        </is>
      </c>
      <c r="F4" s="9" t="inlineStr">
        <is>
          <t>basis</t>
        </is>
      </c>
      <c r="G4" s="9" t="inlineStr">
        <is>
          <t>value_as_printed</t>
        </is>
      </c>
      <c r="H4" s="9" t="inlineStr">
        <is>
          <t>scale</t>
        </is>
      </c>
      <c r="I4" s="9" t="inlineStr">
        <is>
          <t>unit</t>
        </is>
      </c>
      <c r="J4" s="9" t="inlineStr">
        <is>
          <t>currency</t>
        </is>
      </c>
      <c r="K4" s="9" t="inlineStr">
        <is>
          <t>pdf_page</t>
        </is>
      </c>
      <c r="L4" s="9" t="inlineStr">
        <is>
          <t>verified</t>
        </is>
      </c>
      <c r="M4" s="9" t="inlineStr">
        <is>
          <t>concept_suggestion</t>
        </is>
      </c>
      <c r="N4" s="9" t="inlineStr">
        <is>
          <t>notes</t>
        </is>
      </c>
    </row>
    <row r="5">
      <c r="A5" s="10" t="n">
        <v>1</v>
      </c>
      <c r="B5" s="10" t="inlineStr">
        <is>
          <t>heps_reconciliation</t>
        </is>
      </c>
      <c r="C5" s="10" t="inlineStr">
        <is>
          <t>36</t>
        </is>
      </c>
      <c r="D5" s="10" t="inlineStr">
        <is>
          <t>Net profit attributable to owners of the parent [net]</t>
        </is>
      </c>
      <c r="E5" s="10" t="inlineStr">
        <is>
          <t>FY2024</t>
        </is>
      </c>
      <c r="F5" s="10" t="inlineStr">
        <is>
          <t>as_reported</t>
        </is>
      </c>
      <c r="G5" s="11" t="n">
        <v>6248</v>
      </c>
      <c r="H5" s="10" t="inlineStr">
        <is>
          <t>millions</t>
        </is>
      </c>
      <c r="I5" s="10" t="inlineStr">
        <is>
          <t>currency</t>
        </is>
      </c>
      <c r="J5" s="10" t="inlineStr">
        <is>
          <t>ZAR</t>
        </is>
      </c>
      <c r="K5" s="10" t="n">
        <v>90</v>
      </c>
      <c r="L5" s="12" t="n"/>
      <c r="M5" s="10" t="inlineStr">
        <is>
          <t>profit_attributable_owners_net</t>
        </is>
      </c>
      <c r="N5" s="10" t="inlineStr"/>
    </row>
    <row r="6">
      <c r="A6" s="10" t="n">
        <v>2</v>
      </c>
      <c r="B6" s="10" t="inlineStr">
        <is>
          <t>heps_reconciliation</t>
        </is>
      </c>
      <c r="C6" s="10" t="inlineStr">
        <is>
          <t>36</t>
        </is>
      </c>
      <c r="D6" s="10" t="inlineStr">
        <is>
          <t>Loss from discontinued operations [net]</t>
        </is>
      </c>
      <c r="E6" s="10" t="inlineStr">
        <is>
          <t>FY2024</t>
        </is>
      </c>
      <c r="F6" s="10" t="inlineStr">
        <is>
          <t>as_reported</t>
        </is>
      </c>
      <c r="G6" s="11" t="n">
        <v>322</v>
      </c>
      <c r="H6" s="10" t="inlineStr">
        <is>
          <t>millions</t>
        </is>
      </c>
      <c r="I6" s="10" t="inlineStr">
        <is>
          <t>currency</t>
        </is>
      </c>
      <c r="J6" s="10" t="inlineStr">
        <is>
          <t>ZAR</t>
        </is>
      </c>
      <c r="K6" s="10" t="n">
        <v>90</v>
      </c>
      <c r="L6" s="12" t="n"/>
      <c r="M6" s="10" t="inlineStr">
        <is>
          <t>heps_adj_discontinued_net</t>
        </is>
      </c>
      <c r="N6" s="10" t="inlineStr"/>
    </row>
    <row r="7">
      <c r="A7" s="10" t="n">
        <v>3</v>
      </c>
      <c r="B7" s="10" t="inlineStr">
        <is>
          <t>heps_reconciliation</t>
        </is>
      </c>
      <c r="C7" s="10" t="inlineStr">
        <is>
          <t>36</t>
        </is>
      </c>
      <c r="D7" s="10" t="inlineStr">
        <is>
          <t>Earnings from continuing operations [net]</t>
        </is>
      </c>
      <c r="E7" s="10" t="inlineStr">
        <is>
          <t>FY2024</t>
        </is>
      </c>
      <c r="F7" s="10" t="inlineStr">
        <is>
          <t>as_reported</t>
        </is>
      </c>
      <c r="G7" s="11" t="n">
        <v>6570</v>
      </c>
      <c r="H7" s="10" t="inlineStr">
        <is>
          <t>millions</t>
        </is>
      </c>
      <c r="I7" s="10" t="inlineStr">
        <is>
          <t>currency</t>
        </is>
      </c>
      <c r="J7" s="10" t="inlineStr">
        <is>
          <t>ZAR</t>
        </is>
      </c>
      <c r="K7" s="10" t="n">
        <v>90</v>
      </c>
      <c r="L7" s="12" t="n"/>
      <c r="M7" s="10" t="inlineStr">
        <is>
          <t>earnings_continuing_net</t>
        </is>
      </c>
      <c r="N7" s="10" t="inlineStr"/>
    </row>
    <row r="8">
      <c r="A8" s="10" t="n">
        <v>4</v>
      </c>
      <c r="B8" s="10" t="inlineStr">
        <is>
          <t>heps_reconciliation</t>
        </is>
      </c>
      <c r="C8" s="10" t="inlineStr">
        <is>
          <t>36</t>
        </is>
      </c>
      <c r="D8" s="10" t="inlineStr">
        <is>
          <t>Profit on disposal of assets classified as held for sale [gross]</t>
        </is>
      </c>
      <c r="E8" s="10" t="inlineStr">
        <is>
          <t>FY2024</t>
        </is>
      </c>
      <c r="F8" s="10" t="inlineStr">
        <is>
          <t>as_reported</t>
        </is>
      </c>
      <c r="G8" s="11" t="n">
        <v>-9</v>
      </c>
      <c r="H8" s="10" t="inlineStr">
        <is>
          <t>millions</t>
        </is>
      </c>
      <c r="I8" s="10" t="inlineStr">
        <is>
          <t>currency</t>
        </is>
      </c>
      <c r="J8" s="10" t="inlineStr">
        <is>
          <t>ZAR</t>
        </is>
      </c>
      <c r="K8" s="10" t="n">
        <v>90</v>
      </c>
      <c r="L8" s="12" t="n"/>
      <c r="M8" s="10" t="inlineStr">
        <is>
          <t>heps_adj_disposal_held_for_sale_gross</t>
        </is>
      </c>
      <c r="N8" s="10" t="inlineStr"/>
    </row>
    <row r="9">
      <c r="A9" s="10" t="n">
        <v>5</v>
      </c>
      <c r="B9" s="10" t="inlineStr">
        <is>
          <t>heps_reconciliation</t>
        </is>
      </c>
      <c r="C9" s="10" t="inlineStr">
        <is>
          <t>36</t>
        </is>
      </c>
      <c r="D9" s="10" t="inlineStr">
        <is>
          <t>Profit on disposal of assets classified as held for sale [tax effect]</t>
        </is>
      </c>
      <c r="E9" s="10" t="inlineStr">
        <is>
          <t>FY2024</t>
        </is>
      </c>
      <c r="F9" s="10" t="inlineStr">
        <is>
          <t>as_reported</t>
        </is>
      </c>
      <c r="G9" s="11" t="n">
        <v>0</v>
      </c>
      <c r="H9" s="10" t="inlineStr">
        <is>
          <t>millions</t>
        </is>
      </c>
      <c r="I9" s="10" t="inlineStr">
        <is>
          <t>currency</t>
        </is>
      </c>
      <c r="J9" s="10" t="inlineStr">
        <is>
          <t>ZAR</t>
        </is>
      </c>
      <c r="K9" s="10" t="n">
        <v>90</v>
      </c>
      <c r="L9" s="12" t="n"/>
      <c r="M9" s="10" t="inlineStr">
        <is>
          <t>heps_adj_disposal_held_for_sale_tax</t>
        </is>
      </c>
      <c r="N9" s="10" t="inlineStr"/>
    </row>
    <row r="10">
      <c r="A10" s="10" t="n">
        <v>6</v>
      </c>
      <c r="B10" s="10" t="inlineStr">
        <is>
          <t>heps_reconciliation</t>
        </is>
      </c>
      <c r="C10" s="10" t="inlineStr">
        <is>
          <t>36</t>
        </is>
      </c>
      <c r="D10" s="10" t="inlineStr">
        <is>
          <t>Profit on disposal of assets classified as held for sale [net]</t>
        </is>
      </c>
      <c r="E10" s="10" t="inlineStr">
        <is>
          <t>FY2024</t>
        </is>
      </c>
      <c r="F10" s="10" t="inlineStr">
        <is>
          <t>as_reported</t>
        </is>
      </c>
      <c r="G10" s="11" t="n">
        <v>-9</v>
      </c>
      <c r="H10" s="10" t="inlineStr">
        <is>
          <t>millions</t>
        </is>
      </c>
      <c r="I10" s="10" t="inlineStr">
        <is>
          <t>currency</t>
        </is>
      </c>
      <c r="J10" s="10" t="inlineStr">
        <is>
          <t>ZAR</t>
        </is>
      </c>
      <c r="K10" s="10" t="n">
        <v>90</v>
      </c>
      <c r="L10" s="12" t="n"/>
      <c r="M10" s="10" t="inlineStr">
        <is>
          <t>heps_adj_disposal_held_for_sale_net</t>
        </is>
      </c>
      <c r="N10" s="10" t="inlineStr"/>
    </row>
    <row r="11">
      <c r="A11" s="10" t="n">
        <v>7</v>
      </c>
      <c r="B11" s="10" t="inlineStr">
        <is>
          <t>heps_reconciliation</t>
        </is>
      </c>
      <c r="C11" s="10" t="inlineStr">
        <is>
          <t>36</t>
        </is>
      </c>
      <c r="D11" s="10" t="inlineStr">
        <is>
          <t>Profit on sale and leaseback transaction [gross]</t>
        </is>
      </c>
      <c r="E11" s="10" t="inlineStr">
        <is>
          <t>FY2024</t>
        </is>
      </c>
      <c r="F11" s="10" t="inlineStr">
        <is>
          <t>as_reported</t>
        </is>
      </c>
      <c r="G11" s="11" t="n">
        <v>-49</v>
      </c>
      <c r="H11" s="10" t="inlineStr">
        <is>
          <t>millions</t>
        </is>
      </c>
      <c r="I11" s="10" t="inlineStr">
        <is>
          <t>currency</t>
        </is>
      </c>
      <c r="J11" s="10" t="inlineStr">
        <is>
          <t>ZAR</t>
        </is>
      </c>
      <c r="K11" s="10" t="n">
        <v>90</v>
      </c>
      <c r="L11" s="12" t="n"/>
      <c r="M11" s="10" t="inlineStr">
        <is>
          <t>heps_adj_sale_leaseback_gross</t>
        </is>
      </c>
      <c r="N11" s="10" t="inlineStr"/>
    </row>
    <row r="12">
      <c r="A12" s="10" t="n">
        <v>8</v>
      </c>
      <c r="B12" s="10" t="inlineStr">
        <is>
          <t>heps_reconciliation</t>
        </is>
      </c>
      <c r="C12" s="10" t="inlineStr">
        <is>
          <t>36</t>
        </is>
      </c>
      <c r="D12" s="10" t="inlineStr">
        <is>
          <t>Profit on sale and leaseback transaction [tax effect]</t>
        </is>
      </c>
      <c r="E12" s="10" t="inlineStr">
        <is>
          <t>FY2024</t>
        </is>
      </c>
      <c r="F12" s="10" t="inlineStr">
        <is>
          <t>as_reported</t>
        </is>
      </c>
      <c r="G12" s="11" t="n">
        <v>17</v>
      </c>
      <c r="H12" s="10" t="inlineStr">
        <is>
          <t>millions</t>
        </is>
      </c>
      <c r="I12" s="10" t="inlineStr">
        <is>
          <t>currency</t>
        </is>
      </c>
      <c r="J12" s="10" t="inlineStr">
        <is>
          <t>ZAR</t>
        </is>
      </c>
      <c r="K12" s="10" t="n">
        <v>90</v>
      </c>
      <c r="L12" s="12" t="n"/>
      <c r="M12" s="10" t="inlineStr">
        <is>
          <t>heps_adj_sale_leaseback_tax</t>
        </is>
      </c>
      <c r="N12" s="10" t="inlineStr"/>
    </row>
    <row r="13">
      <c r="A13" s="10" t="n">
        <v>9</v>
      </c>
      <c r="B13" s="10" t="inlineStr">
        <is>
          <t>heps_reconciliation</t>
        </is>
      </c>
      <c r="C13" s="10" t="inlineStr">
        <is>
          <t>36</t>
        </is>
      </c>
      <c r="D13" s="10" t="inlineStr">
        <is>
          <t>Profit on sale and leaseback transaction [net]</t>
        </is>
      </c>
      <c r="E13" s="10" t="inlineStr">
        <is>
          <t>FY2024</t>
        </is>
      </c>
      <c r="F13" s="10" t="inlineStr">
        <is>
          <t>as_reported</t>
        </is>
      </c>
      <c r="G13" s="11" t="n">
        <v>-32</v>
      </c>
      <c r="H13" s="10" t="inlineStr">
        <is>
          <t>millions</t>
        </is>
      </c>
      <c r="I13" s="10" t="inlineStr">
        <is>
          <t>currency</t>
        </is>
      </c>
      <c r="J13" s="10" t="inlineStr">
        <is>
          <t>ZAR</t>
        </is>
      </c>
      <c r="K13" s="10" t="n">
        <v>90</v>
      </c>
      <c r="L13" s="12" t="n"/>
      <c r="M13" s="10" t="inlineStr">
        <is>
          <t>heps_adj_sale_leaseback_net</t>
        </is>
      </c>
      <c r="N13" s="10" t="inlineStr"/>
    </row>
    <row r="14">
      <c r="A14" s="10" t="n">
        <v>10</v>
      </c>
      <c r="B14" s="10" t="inlineStr">
        <is>
          <t>heps_reconciliation</t>
        </is>
      </c>
      <c r="C14" s="10" t="inlineStr">
        <is>
          <t>36</t>
        </is>
      </c>
      <c r="D14" s="10" t="inlineStr">
        <is>
          <t>Loss on disposal and scrapping of property, plant and equipment and intangible assets [gross]</t>
        </is>
      </c>
      <c r="E14" s="10" t="inlineStr">
        <is>
          <t>FY2024</t>
        </is>
      </c>
      <c r="F14" s="10" t="inlineStr">
        <is>
          <t>as_reported</t>
        </is>
      </c>
      <c r="G14" s="11" t="n">
        <v>143</v>
      </c>
      <c r="H14" s="10" t="inlineStr">
        <is>
          <t>millions</t>
        </is>
      </c>
      <c r="I14" s="10" t="inlineStr">
        <is>
          <t>currency</t>
        </is>
      </c>
      <c r="J14" s="10" t="inlineStr">
        <is>
          <t>ZAR</t>
        </is>
      </c>
      <c r="K14" s="10" t="n">
        <v>90</v>
      </c>
      <c r="L14" s="12" t="n"/>
      <c r="M14" s="10" t="inlineStr">
        <is>
          <t>heps_adj_disposal_ppe_gross</t>
        </is>
      </c>
      <c r="N14" s="10" t="inlineStr"/>
    </row>
    <row r="15">
      <c r="A15" s="10" t="n">
        <v>11</v>
      </c>
      <c r="B15" s="10" t="inlineStr">
        <is>
          <t>heps_reconciliation</t>
        </is>
      </c>
      <c r="C15" s="10" t="inlineStr">
        <is>
          <t>36</t>
        </is>
      </c>
      <c r="D15" s="10" t="inlineStr">
        <is>
          <t>Loss on disposal and scrapping of property, plant and equipment and intangible assets [tax effect]</t>
        </is>
      </c>
      <c r="E15" s="10" t="inlineStr">
        <is>
          <t>FY2024</t>
        </is>
      </c>
      <c r="F15" s="10" t="inlineStr">
        <is>
          <t>as_reported</t>
        </is>
      </c>
      <c r="G15" s="11" t="n">
        <v>-37</v>
      </c>
      <c r="H15" s="10" t="inlineStr">
        <is>
          <t>millions</t>
        </is>
      </c>
      <c r="I15" s="10" t="inlineStr">
        <is>
          <t>currency</t>
        </is>
      </c>
      <c r="J15" s="10" t="inlineStr">
        <is>
          <t>ZAR</t>
        </is>
      </c>
      <c r="K15" s="10" t="n">
        <v>90</v>
      </c>
      <c r="L15" s="12" t="n"/>
      <c r="M15" s="10" t="inlineStr">
        <is>
          <t>heps_adj_disposal_ppe_tax</t>
        </is>
      </c>
      <c r="N15" s="10" t="inlineStr"/>
    </row>
    <row r="16">
      <c r="A16" s="10" t="n">
        <v>12</v>
      </c>
      <c r="B16" s="10" t="inlineStr">
        <is>
          <t>heps_reconciliation</t>
        </is>
      </c>
      <c r="C16" s="10" t="inlineStr">
        <is>
          <t>36</t>
        </is>
      </c>
      <c r="D16" s="10" t="inlineStr">
        <is>
          <t>Loss on disposal and scrapping of property, plant and equipment and intangible assets [net]</t>
        </is>
      </c>
      <c r="E16" s="10" t="inlineStr">
        <is>
          <t>FY2024</t>
        </is>
      </c>
      <c r="F16" s="10" t="inlineStr">
        <is>
          <t>as_reported</t>
        </is>
      </c>
      <c r="G16" s="11" t="n">
        <v>106</v>
      </c>
      <c r="H16" s="10" t="inlineStr">
        <is>
          <t>millions</t>
        </is>
      </c>
      <c r="I16" s="10" t="inlineStr">
        <is>
          <t>currency</t>
        </is>
      </c>
      <c r="J16" s="10" t="inlineStr">
        <is>
          <t>ZAR</t>
        </is>
      </c>
      <c r="K16" s="10" t="n">
        <v>90</v>
      </c>
      <c r="L16" s="12" t="n"/>
      <c r="M16" s="10" t="inlineStr">
        <is>
          <t>heps_adj_disposal_ppe_net</t>
        </is>
      </c>
      <c r="N16" s="10" t="inlineStr"/>
    </row>
    <row r="17">
      <c r="A17" s="10" t="n">
        <v>13</v>
      </c>
      <c r="B17" s="10" t="inlineStr">
        <is>
          <t>heps_reconciliation</t>
        </is>
      </c>
      <c r="C17" s="10" t="inlineStr">
        <is>
          <t>36</t>
        </is>
      </c>
      <c r="D17" s="10" t="inlineStr">
        <is>
          <t>Impairment of property, plant and equipment [gross]</t>
        </is>
      </c>
      <c r="E17" s="10" t="inlineStr">
        <is>
          <t>FY2024</t>
        </is>
      </c>
      <c r="F17" s="10" t="inlineStr">
        <is>
          <t>as_reported</t>
        </is>
      </c>
      <c r="G17" s="11" t="n">
        <v>36</v>
      </c>
      <c r="H17" s="10" t="inlineStr">
        <is>
          <t>millions</t>
        </is>
      </c>
      <c r="I17" s="10" t="inlineStr">
        <is>
          <t>currency</t>
        </is>
      </c>
      <c r="J17" s="10" t="inlineStr">
        <is>
          <t>ZAR</t>
        </is>
      </c>
      <c r="K17" s="10" t="n">
        <v>90</v>
      </c>
      <c r="L17" s="12" t="n"/>
      <c r="M17" s="10" t="inlineStr">
        <is>
          <t>heps_adj_impairment_ppe_gross</t>
        </is>
      </c>
      <c r="N17" s="10" t="inlineStr"/>
    </row>
    <row r="18">
      <c r="A18" s="10" t="n">
        <v>14</v>
      </c>
      <c r="B18" s="10" t="inlineStr">
        <is>
          <t>heps_reconciliation</t>
        </is>
      </c>
      <c r="C18" s="10" t="inlineStr">
        <is>
          <t>36</t>
        </is>
      </c>
      <c r="D18" s="10" t="inlineStr">
        <is>
          <t>Impairment of property, plant and equipment [tax effect]</t>
        </is>
      </c>
      <c r="E18" s="10" t="inlineStr">
        <is>
          <t>FY2024</t>
        </is>
      </c>
      <c r="F18" s="10" t="inlineStr">
        <is>
          <t>as_reported</t>
        </is>
      </c>
      <c r="G18" s="11" t="n">
        <v>-5</v>
      </c>
      <c r="H18" s="10" t="inlineStr">
        <is>
          <t>millions</t>
        </is>
      </c>
      <c r="I18" s="10" t="inlineStr">
        <is>
          <t>currency</t>
        </is>
      </c>
      <c r="J18" s="10" t="inlineStr">
        <is>
          <t>ZAR</t>
        </is>
      </c>
      <c r="K18" s="10" t="n">
        <v>90</v>
      </c>
      <c r="L18" s="12" t="n"/>
      <c r="M18" s="10" t="inlineStr">
        <is>
          <t>heps_adj_impairment_ppe_tax</t>
        </is>
      </c>
      <c r="N18" s="10" t="inlineStr"/>
    </row>
    <row r="19">
      <c r="A19" s="10" t="n">
        <v>15</v>
      </c>
      <c r="B19" s="10" t="inlineStr">
        <is>
          <t>heps_reconciliation</t>
        </is>
      </c>
      <c r="C19" s="10" t="inlineStr">
        <is>
          <t>36</t>
        </is>
      </c>
      <c r="D19" s="10" t="inlineStr">
        <is>
          <t>Impairment of property, plant and equipment [net]</t>
        </is>
      </c>
      <c r="E19" s="10" t="inlineStr">
        <is>
          <t>FY2024</t>
        </is>
      </c>
      <c r="F19" s="10" t="inlineStr">
        <is>
          <t>as_reported</t>
        </is>
      </c>
      <c r="G19" s="11" t="n">
        <v>31</v>
      </c>
      <c r="H19" s="10" t="inlineStr">
        <is>
          <t>millions</t>
        </is>
      </c>
      <c r="I19" s="10" t="inlineStr">
        <is>
          <t>currency</t>
        </is>
      </c>
      <c r="J19" s="10" t="inlineStr">
        <is>
          <t>ZAR</t>
        </is>
      </c>
      <c r="K19" s="10" t="n">
        <v>90</v>
      </c>
      <c r="L19" s="12" t="n"/>
      <c r="M19" s="10" t="inlineStr">
        <is>
          <t>heps_adj_impairment_ppe_net</t>
        </is>
      </c>
      <c r="N19" s="10" t="inlineStr"/>
    </row>
    <row r="20">
      <c r="A20" s="10" t="n">
        <v>16</v>
      </c>
      <c r="B20" s="10" t="inlineStr">
        <is>
          <t>heps_reconciliation</t>
        </is>
      </c>
      <c r="C20" s="10" t="inlineStr">
        <is>
          <t>36</t>
        </is>
      </c>
      <c r="D20" s="10" t="inlineStr">
        <is>
          <t>Impairment of investment properties [gross]</t>
        </is>
      </c>
      <c r="E20" s="10" t="inlineStr">
        <is>
          <t>FY2024</t>
        </is>
      </c>
      <c r="F20" s="10" t="inlineStr">
        <is>
          <t>as_reported</t>
        </is>
      </c>
      <c r="G20" s="11" t="n">
        <v>123</v>
      </c>
      <c r="H20" s="10" t="inlineStr">
        <is>
          <t>millions</t>
        </is>
      </c>
      <c r="I20" s="10" t="inlineStr">
        <is>
          <t>currency</t>
        </is>
      </c>
      <c r="J20" s="10" t="inlineStr">
        <is>
          <t>ZAR</t>
        </is>
      </c>
      <c r="K20" s="10" t="n">
        <v>90</v>
      </c>
      <c r="L20" s="12" t="n"/>
      <c r="M20" s="10" t="inlineStr">
        <is>
          <t>heps_adj_impairment_inv_prop_gross</t>
        </is>
      </c>
      <c r="N20" s="10" t="inlineStr"/>
    </row>
    <row r="21">
      <c r="A21" s="10" t="n">
        <v>17</v>
      </c>
      <c r="B21" s="10" t="inlineStr">
        <is>
          <t>heps_reconciliation</t>
        </is>
      </c>
      <c r="C21" s="10" t="inlineStr">
        <is>
          <t>36</t>
        </is>
      </c>
      <c r="D21" s="10" t="inlineStr">
        <is>
          <t>Impairment of investment properties [tax effect]</t>
        </is>
      </c>
      <c r="E21" s="10" t="inlineStr">
        <is>
          <t>FY2024</t>
        </is>
      </c>
      <c r="F21" s="10" t="inlineStr">
        <is>
          <t>as_reported</t>
        </is>
      </c>
      <c r="G21" s="11" t="n">
        <v>0</v>
      </c>
      <c r="H21" s="10" t="inlineStr">
        <is>
          <t>millions</t>
        </is>
      </c>
      <c r="I21" s="10" t="inlineStr">
        <is>
          <t>currency</t>
        </is>
      </c>
      <c r="J21" s="10" t="inlineStr">
        <is>
          <t>ZAR</t>
        </is>
      </c>
      <c r="K21" s="10" t="n">
        <v>90</v>
      </c>
      <c r="L21" s="12" t="n"/>
      <c r="M21" s="10" t="inlineStr">
        <is>
          <t>heps_adj_impairment_inv_prop_tax</t>
        </is>
      </c>
      <c r="N21" s="10" t="inlineStr"/>
    </row>
    <row r="22">
      <c r="A22" s="10" t="n">
        <v>18</v>
      </c>
      <c r="B22" s="10" t="inlineStr">
        <is>
          <t>heps_reconciliation</t>
        </is>
      </c>
      <c r="C22" s="10" t="inlineStr">
        <is>
          <t>36</t>
        </is>
      </c>
      <c r="D22" s="10" t="inlineStr">
        <is>
          <t>Impairment of investment properties [net]</t>
        </is>
      </c>
      <c r="E22" s="10" t="inlineStr">
        <is>
          <t>FY2024</t>
        </is>
      </c>
      <c r="F22" s="10" t="inlineStr">
        <is>
          <t>as_reported</t>
        </is>
      </c>
      <c r="G22" s="11" t="n">
        <v>123</v>
      </c>
      <c r="H22" s="10" t="inlineStr">
        <is>
          <t>millions</t>
        </is>
      </c>
      <c r="I22" s="10" t="inlineStr">
        <is>
          <t>currency</t>
        </is>
      </c>
      <c r="J22" s="10" t="inlineStr">
        <is>
          <t>ZAR</t>
        </is>
      </c>
      <c r="K22" s="10" t="n">
        <v>90</v>
      </c>
      <c r="L22" s="12" t="n"/>
      <c r="M22" s="10" t="inlineStr">
        <is>
          <t>heps_adj_impairment_inv_prop_net</t>
        </is>
      </c>
      <c r="N22" s="10" t="inlineStr"/>
    </row>
    <row r="23">
      <c r="A23" s="10" t="n">
        <v>19</v>
      </c>
      <c r="B23" s="10" t="inlineStr">
        <is>
          <t>heps_reconciliation</t>
        </is>
      </c>
      <c r="C23" s="10" t="inlineStr">
        <is>
          <t>36</t>
        </is>
      </c>
      <c r="D23" s="10" t="inlineStr">
        <is>
          <t>Impairment of right-of-use assets [gross]</t>
        </is>
      </c>
      <c r="E23" s="10" t="inlineStr">
        <is>
          <t>FY2024</t>
        </is>
      </c>
      <c r="F23" s="10" t="inlineStr">
        <is>
          <t>as_reported</t>
        </is>
      </c>
      <c r="G23" s="11" t="n">
        <v>58</v>
      </c>
      <c r="H23" s="10" t="inlineStr">
        <is>
          <t>millions</t>
        </is>
      </c>
      <c r="I23" s="10" t="inlineStr">
        <is>
          <t>currency</t>
        </is>
      </c>
      <c r="J23" s="10" t="inlineStr">
        <is>
          <t>ZAR</t>
        </is>
      </c>
      <c r="K23" s="10" t="n">
        <v>90</v>
      </c>
      <c r="L23" s="12" t="n"/>
      <c r="M23" s="10" t="inlineStr">
        <is>
          <t>heps_adj_impairment_rou_gross</t>
        </is>
      </c>
      <c r="N23" s="10" t="inlineStr"/>
    </row>
    <row r="24">
      <c r="A24" s="10" t="n">
        <v>20</v>
      </c>
      <c r="B24" s="10" t="inlineStr">
        <is>
          <t>heps_reconciliation</t>
        </is>
      </c>
      <c r="C24" s="10" t="inlineStr">
        <is>
          <t>36</t>
        </is>
      </c>
      <c r="D24" s="10" t="inlineStr">
        <is>
          <t>Impairment of right-of-use assets [tax effect]</t>
        </is>
      </c>
      <c r="E24" s="10" t="inlineStr">
        <is>
          <t>FY2024</t>
        </is>
      </c>
      <c r="F24" s="10" t="inlineStr">
        <is>
          <t>as_reported</t>
        </is>
      </c>
      <c r="G24" s="11" t="n">
        <v>-22</v>
      </c>
      <c r="H24" s="10" t="inlineStr">
        <is>
          <t>millions</t>
        </is>
      </c>
      <c r="I24" s="10" t="inlineStr">
        <is>
          <t>currency</t>
        </is>
      </c>
      <c r="J24" s="10" t="inlineStr">
        <is>
          <t>ZAR</t>
        </is>
      </c>
      <c r="K24" s="10" t="n">
        <v>90</v>
      </c>
      <c r="L24" s="12" t="n"/>
      <c r="M24" s="10" t="inlineStr">
        <is>
          <t>heps_adj_impairment_rou_tax</t>
        </is>
      </c>
      <c r="N24" s="10" t="inlineStr"/>
    </row>
    <row r="25">
      <c r="A25" s="10" t="n">
        <v>21</v>
      </c>
      <c r="B25" s="10" t="inlineStr">
        <is>
          <t>heps_reconciliation</t>
        </is>
      </c>
      <c r="C25" s="10" t="inlineStr">
        <is>
          <t>36</t>
        </is>
      </c>
      <c r="D25" s="10" t="inlineStr">
        <is>
          <t>Impairment of right-of-use assets [net]</t>
        </is>
      </c>
      <c r="E25" s="10" t="inlineStr">
        <is>
          <t>FY2024</t>
        </is>
      </c>
      <c r="F25" s="10" t="inlineStr">
        <is>
          <t>as_reported</t>
        </is>
      </c>
      <c r="G25" s="11" t="n">
        <v>36</v>
      </c>
      <c r="H25" s="10" t="inlineStr">
        <is>
          <t>millions</t>
        </is>
      </c>
      <c r="I25" s="10" t="inlineStr">
        <is>
          <t>currency</t>
        </is>
      </c>
      <c r="J25" s="10" t="inlineStr">
        <is>
          <t>ZAR</t>
        </is>
      </c>
      <c r="K25" s="10" t="n">
        <v>90</v>
      </c>
      <c r="L25" s="12" t="n"/>
      <c r="M25" s="10" t="inlineStr">
        <is>
          <t>heps_adj_impairment_rou_net</t>
        </is>
      </c>
      <c r="N25" s="10" t="inlineStr"/>
    </row>
    <row r="26">
      <c r="A26" s="10" t="n">
        <v>22</v>
      </c>
      <c r="B26" s="10" t="inlineStr">
        <is>
          <t>heps_reconciliation</t>
        </is>
      </c>
      <c r="C26" s="10" t="inlineStr">
        <is>
          <t>36</t>
        </is>
      </c>
      <c r="D26" s="10" t="inlineStr">
        <is>
          <t>Impairment of intangible assets [gross]</t>
        </is>
      </c>
      <c r="E26" s="10" t="inlineStr">
        <is>
          <t>FY2024</t>
        </is>
      </c>
      <c r="F26" s="10" t="inlineStr">
        <is>
          <t>as_reported</t>
        </is>
      </c>
      <c r="G26" s="11" t="n">
        <v>33</v>
      </c>
      <c r="H26" s="10" t="inlineStr">
        <is>
          <t>millions</t>
        </is>
      </c>
      <c r="I26" s="10" t="inlineStr">
        <is>
          <t>currency</t>
        </is>
      </c>
      <c r="J26" s="10" t="inlineStr">
        <is>
          <t>ZAR</t>
        </is>
      </c>
      <c r="K26" s="10" t="n">
        <v>90</v>
      </c>
      <c r="L26" s="12" t="n"/>
      <c r="M26" s="10" t="inlineStr">
        <is>
          <t>heps_adj_impairment_intangibles_gross</t>
        </is>
      </c>
      <c r="N26" s="10" t="inlineStr"/>
    </row>
    <row r="27">
      <c r="A27" s="10" t="n">
        <v>23</v>
      </c>
      <c r="B27" s="10" t="inlineStr">
        <is>
          <t>heps_reconciliation</t>
        </is>
      </c>
      <c r="C27" s="10" t="inlineStr">
        <is>
          <t>36</t>
        </is>
      </c>
      <c r="D27" s="10" t="inlineStr">
        <is>
          <t>Impairment of intangible assets [tax effect]</t>
        </is>
      </c>
      <c r="E27" s="10" t="inlineStr">
        <is>
          <t>FY2024</t>
        </is>
      </c>
      <c r="F27" s="10" t="inlineStr">
        <is>
          <t>as_reported</t>
        </is>
      </c>
      <c r="G27" s="11" t="n">
        <v>-3</v>
      </c>
      <c r="H27" s="10" t="inlineStr">
        <is>
          <t>millions</t>
        </is>
      </c>
      <c r="I27" s="10" t="inlineStr">
        <is>
          <t>currency</t>
        </is>
      </c>
      <c r="J27" s="10" t="inlineStr">
        <is>
          <t>ZAR</t>
        </is>
      </c>
      <c r="K27" s="10" t="n">
        <v>90</v>
      </c>
      <c r="L27" s="12" t="n"/>
      <c r="M27" s="10" t="inlineStr">
        <is>
          <t>heps_adj_impairment_intangibles_tax</t>
        </is>
      </c>
      <c r="N27" s="10" t="inlineStr"/>
    </row>
    <row r="28">
      <c r="A28" s="10" t="n">
        <v>24</v>
      </c>
      <c r="B28" s="10" t="inlineStr">
        <is>
          <t>heps_reconciliation</t>
        </is>
      </c>
      <c r="C28" s="10" t="inlineStr">
        <is>
          <t>36</t>
        </is>
      </c>
      <c r="D28" s="10" t="inlineStr">
        <is>
          <t>Impairment of intangible assets [net]</t>
        </is>
      </c>
      <c r="E28" s="10" t="inlineStr">
        <is>
          <t>FY2024</t>
        </is>
      </c>
      <c r="F28" s="10" t="inlineStr">
        <is>
          <t>as_reported</t>
        </is>
      </c>
      <c r="G28" s="11" t="n">
        <v>30</v>
      </c>
      <c r="H28" s="10" t="inlineStr">
        <is>
          <t>millions</t>
        </is>
      </c>
      <c r="I28" s="10" t="inlineStr">
        <is>
          <t>currency</t>
        </is>
      </c>
      <c r="J28" s="10" t="inlineStr">
        <is>
          <t>ZAR</t>
        </is>
      </c>
      <c r="K28" s="10" t="n">
        <v>90</v>
      </c>
      <c r="L28" s="12" t="n"/>
      <c r="M28" s="10" t="inlineStr">
        <is>
          <t>heps_adj_impairment_intangibles_net</t>
        </is>
      </c>
      <c r="N28" s="10" t="inlineStr"/>
    </row>
    <row r="29">
      <c r="A29" s="10" t="n">
        <v>25</v>
      </c>
      <c r="B29" s="10" t="inlineStr">
        <is>
          <t>heps_reconciliation</t>
        </is>
      </c>
      <c r="C29" s="10" t="inlineStr">
        <is>
          <t>36</t>
        </is>
      </c>
      <c r="D29" s="10" t="inlineStr">
        <is>
          <t>Impairment of investment in associate [gross]</t>
        </is>
      </c>
      <c r="E29" s="10" t="inlineStr">
        <is>
          <t>FY2024</t>
        </is>
      </c>
      <c r="F29" s="10" t="inlineStr">
        <is>
          <t>as_reported</t>
        </is>
      </c>
      <c r="G29" s="11" t="n">
        <v>14</v>
      </c>
      <c r="H29" s="10" t="inlineStr">
        <is>
          <t>millions</t>
        </is>
      </c>
      <c r="I29" s="10" t="inlineStr">
        <is>
          <t>currency</t>
        </is>
      </c>
      <c r="J29" s="10" t="inlineStr">
        <is>
          <t>ZAR</t>
        </is>
      </c>
      <c r="K29" s="10" t="n">
        <v>90</v>
      </c>
      <c r="L29" s="12" t="n"/>
      <c r="M29" s="10" t="inlineStr">
        <is>
          <t>heps_adj_impairment_associate_gross</t>
        </is>
      </c>
      <c r="N29" s="10" t="inlineStr"/>
    </row>
    <row r="30">
      <c r="A30" s="10" t="n">
        <v>26</v>
      </c>
      <c r="B30" s="10" t="inlineStr">
        <is>
          <t>heps_reconciliation</t>
        </is>
      </c>
      <c r="C30" s="10" t="inlineStr">
        <is>
          <t>36</t>
        </is>
      </c>
      <c r="D30" s="10" t="inlineStr">
        <is>
          <t>Impairment of investment in associate [tax effect]</t>
        </is>
      </c>
      <c r="E30" s="10" t="inlineStr">
        <is>
          <t>FY2024</t>
        </is>
      </c>
      <c r="F30" s="10" t="inlineStr">
        <is>
          <t>as_reported</t>
        </is>
      </c>
      <c r="G30" s="11" t="n">
        <v>0</v>
      </c>
      <c r="H30" s="10" t="inlineStr">
        <is>
          <t>millions</t>
        </is>
      </c>
      <c r="I30" s="10" t="inlineStr">
        <is>
          <t>currency</t>
        </is>
      </c>
      <c r="J30" s="10" t="inlineStr">
        <is>
          <t>ZAR</t>
        </is>
      </c>
      <c r="K30" s="10" t="n">
        <v>90</v>
      </c>
      <c r="L30" s="12" t="n"/>
      <c r="M30" s="10" t="inlineStr">
        <is>
          <t>heps_adj_impairment_associate_tax</t>
        </is>
      </c>
      <c r="N30" s="10" t="inlineStr"/>
    </row>
    <row r="31">
      <c r="A31" s="10" t="n">
        <v>27</v>
      </c>
      <c r="B31" s="10" t="inlineStr">
        <is>
          <t>heps_reconciliation</t>
        </is>
      </c>
      <c r="C31" s="10" t="inlineStr">
        <is>
          <t>36</t>
        </is>
      </c>
      <c r="D31" s="10" t="inlineStr">
        <is>
          <t>Impairment of investment in associate [net]</t>
        </is>
      </c>
      <c r="E31" s="10" t="inlineStr">
        <is>
          <t>FY2024</t>
        </is>
      </c>
      <c r="F31" s="10" t="inlineStr">
        <is>
          <t>as_reported</t>
        </is>
      </c>
      <c r="G31" s="11" t="n">
        <v>14</v>
      </c>
      <c r="H31" s="10" t="inlineStr">
        <is>
          <t>millions</t>
        </is>
      </c>
      <c r="I31" s="10" t="inlineStr">
        <is>
          <t>currency</t>
        </is>
      </c>
      <c r="J31" s="10" t="inlineStr">
        <is>
          <t>ZAR</t>
        </is>
      </c>
      <c r="K31" s="10" t="n">
        <v>90</v>
      </c>
      <c r="L31" s="12" t="n"/>
      <c r="M31" s="10" t="inlineStr">
        <is>
          <t>heps_adj_impairment_associate_net</t>
        </is>
      </c>
      <c r="N31" s="10" t="inlineStr"/>
    </row>
    <row r="32">
      <c r="A32" s="10" t="n">
        <v>28</v>
      </c>
      <c r="B32" s="10" t="inlineStr">
        <is>
          <t>heps_reconciliation</t>
        </is>
      </c>
      <c r="C32" s="10" t="inlineStr">
        <is>
          <t>36</t>
        </is>
      </c>
      <c r="D32" s="10" t="inlineStr">
        <is>
          <t>Insurance claims receivable [gross]</t>
        </is>
      </c>
      <c r="E32" s="10" t="inlineStr">
        <is>
          <t>FY2024</t>
        </is>
      </c>
      <c r="F32" s="10" t="inlineStr">
        <is>
          <t>as_reported</t>
        </is>
      </c>
      <c r="G32" s="11" t="n">
        <v>-45</v>
      </c>
      <c r="H32" s="10" t="inlineStr">
        <is>
          <t>millions</t>
        </is>
      </c>
      <c r="I32" s="10" t="inlineStr">
        <is>
          <t>currency</t>
        </is>
      </c>
      <c r="J32" s="10" t="inlineStr">
        <is>
          <t>ZAR</t>
        </is>
      </c>
      <c r="K32" s="10" t="n">
        <v>90</v>
      </c>
      <c r="L32" s="12" t="n"/>
      <c r="M32" s="10" t="inlineStr">
        <is>
          <t>heps_adj_insurance_claims_gross</t>
        </is>
      </c>
      <c r="N32" s="10" t="inlineStr"/>
    </row>
    <row r="33">
      <c r="A33" s="10" t="n">
        <v>29</v>
      </c>
      <c r="B33" s="10" t="inlineStr">
        <is>
          <t>heps_reconciliation</t>
        </is>
      </c>
      <c r="C33" s="10" t="inlineStr">
        <is>
          <t>36</t>
        </is>
      </c>
      <c r="D33" s="10" t="inlineStr">
        <is>
          <t>Insurance claims receivable [tax effect]</t>
        </is>
      </c>
      <c r="E33" s="10" t="inlineStr">
        <is>
          <t>FY2024</t>
        </is>
      </c>
      <c r="F33" s="10" t="inlineStr">
        <is>
          <t>as_reported</t>
        </is>
      </c>
      <c r="G33" s="11" t="n">
        <v>12</v>
      </c>
      <c r="H33" s="10" t="inlineStr">
        <is>
          <t>millions</t>
        </is>
      </c>
      <c r="I33" s="10" t="inlineStr">
        <is>
          <t>currency</t>
        </is>
      </c>
      <c r="J33" s="10" t="inlineStr">
        <is>
          <t>ZAR</t>
        </is>
      </c>
      <c r="K33" s="10" t="n">
        <v>90</v>
      </c>
      <c r="L33" s="12" t="n"/>
      <c r="M33" s="10" t="inlineStr">
        <is>
          <t>heps_adj_insurance_claims_tax</t>
        </is>
      </c>
      <c r="N33" s="10" t="inlineStr"/>
    </row>
    <row r="34">
      <c r="A34" s="10" t="n">
        <v>30</v>
      </c>
      <c r="B34" s="10" t="inlineStr">
        <is>
          <t>heps_reconciliation</t>
        </is>
      </c>
      <c r="C34" s="10" t="inlineStr">
        <is>
          <t>36</t>
        </is>
      </c>
      <c r="D34" s="10" t="inlineStr">
        <is>
          <t>Insurance claims receivable [net]</t>
        </is>
      </c>
      <c r="E34" s="10" t="inlineStr">
        <is>
          <t>FY2024</t>
        </is>
      </c>
      <c r="F34" s="10" t="inlineStr">
        <is>
          <t>as_reported</t>
        </is>
      </c>
      <c r="G34" s="11" t="n">
        <v>-33</v>
      </c>
      <c r="H34" s="10" t="inlineStr">
        <is>
          <t>millions</t>
        </is>
      </c>
      <c r="I34" s="10" t="inlineStr">
        <is>
          <t>currency</t>
        </is>
      </c>
      <c r="J34" s="10" t="inlineStr">
        <is>
          <t>ZAR</t>
        </is>
      </c>
      <c r="K34" s="10" t="n">
        <v>90</v>
      </c>
      <c r="L34" s="12" t="n"/>
      <c r="M34" s="10" t="inlineStr">
        <is>
          <t>heps_adj_insurance_claims_net</t>
        </is>
      </c>
      <c r="N34" s="10" t="inlineStr"/>
    </row>
    <row r="35">
      <c r="A35" s="10" t="n">
        <v>31</v>
      </c>
      <c r="B35" s="10" t="inlineStr">
        <is>
          <t>heps_reconciliation</t>
        </is>
      </c>
      <c r="C35" s="10" t="inlineStr">
        <is>
          <t>36</t>
        </is>
      </c>
      <c r="D35" s="10" t="inlineStr">
        <is>
          <t>Loss on disposal of subsidiary [gross]</t>
        </is>
      </c>
      <c r="E35" s="10" t="inlineStr">
        <is>
          <t>FY2024</t>
        </is>
      </c>
      <c r="F35" s="10" t="inlineStr">
        <is>
          <t>as_reported</t>
        </is>
      </c>
      <c r="G35" s="11" t="n">
        <v>27</v>
      </c>
      <c r="H35" s="10" t="inlineStr">
        <is>
          <t>millions</t>
        </is>
      </c>
      <c r="I35" s="10" t="inlineStr">
        <is>
          <t>currency</t>
        </is>
      </c>
      <c r="J35" s="10" t="inlineStr">
        <is>
          <t>ZAR</t>
        </is>
      </c>
      <c r="K35" s="10" t="n">
        <v>90</v>
      </c>
      <c r="L35" s="12" t="n"/>
      <c r="M35" s="10" t="inlineStr">
        <is>
          <t>heps_adj_disposal_subsidiary_gross</t>
        </is>
      </c>
      <c r="N35" s="10" t="inlineStr"/>
    </row>
    <row r="36">
      <c r="A36" s="10" t="n">
        <v>32</v>
      </c>
      <c r="B36" s="10" t="inlineStr">
        <is>
          <t>heps_reconciliation</t>
        </is>
      </c>
      <c r="C36" s="10" t="inlineStr">
        <is>
          <t>36</t>
        </is>
      </c>
      <c r="D36" s="10" t="inlineStr">
        <is>
          <t>Loss on disposal of subsidiary [tax effect]</t>
        </is>
      </c>
      <c r="E36" s="10" t="inlineStr">
        <is>
          <t>FY2024</t>
        </is>
      </c>
      <c r="F36" s="10" t="inlineStr">
        <is>
          <t>as_reported</t>
        </is>
      </c>
      <c r="G36" s="11" t="n">
        <v>0</v>
      </c>
      <c r="H36" s="10" t="inlineStr">
        <is>
          <t>millions</t>
        </is>
      </c>
      <c r="I36" s="10" t="inlineStr">
        <is>
          <t>currency</t>
        </is>
      </c>
      <c r="J36" s="10" t="inlineStr">
        <is>
          <t>ZAR</t>
        </is>
      </c>
      <c r="K36" s="10" t="n">
        <v>90</v>
      </c>
      <c r="L36" s="12" t="n"/>
      <c r="M36" s="10" t="inlineStr">
        <is>
          <t>heps_adj_disposal_subsidiary_tax</t>
        </is>
      </c>
      <c r="N36" s="10" t="inlineStr"/>
    </row>
    <row r="37">
      <c r="A37" s="10" t="n">
        <v>33</v>
      </c>
      <c r="B37" s="10" t="inlineStr">
        <is>
          <t>heps_reconciliation</t>
        </is>
      </c>
      <c r="C37" s="10" t="inlineStr">
        <is>
          <t>36</t>
        </is>
      </c>
      <c r="D37" s="10" t="inlineStr">
        <is>
          <t>Loss on disposal of subsidiary [net]</t>
        </is>
      </c>
      <c r="E37" s="10" t="inlineStr">
        <is>
          <t>FY2024</t>
        </is>
      </c>
      <c r="F37" s="10" t="inlineStr">
        <is>
          <t>as_reported</t>
        </is>
      </c>
      <c r="G37" s="11" t="n">
        <v>27</v>
      </c>
      <c r="H37" s="10" t="inlineStr">
        <is>
          <t>millions</t>
        </is>
      </c>
      <c r="I37" s="10" t="inlineStr">
        <is>
          <t>currency</t>
        </is>
      </c>
      <c r="J37" s="10" t="inlineStr">
        <is>
          <t>ZAR</t>
        </is>
      </c>
      <c r="K37" s="10" t="n">
        <v>90</v>
      </c>
      <c r="L37" s="12" t="n"/>
      <c r="M37" s="10" t="inlineStr">
        <is>
          <t>heps_adj_disposal_subsidiary_net</t>
        </is>
      </c>
      <c r="N37" s="10" t="inlineStr"/>
    </row>
    <row r="38">
      <c r="A38" s="10" t="n">
        <v>34</v>
      </c>
      <c r="B38" s="10" t="inlineStr">
        <is>
          <t>heps_reconciliation</t>
        </is>
      </c>
      <c r="C38" s="10" t="inlineStr">
        <is>
          <t>36</t>
        </is>
      </c>
      <c r="D38" s="10" t="inlineStr">
        <is>
          <t>Profit on other investing activities [gross]</t>
        </is>
      </c>
      <c r="E38" s="10" t="inlineStr">
        <is>
          <t>FY2024</t>
        </is>
      </c>
      <c r="F38" s="10" t="inlineStr">
        <is>
          <t>as_reported</t>
        </is>
      </c>
      <c r="G38" s="11" t="n">
        <v>-1</v>
      </c>
      <c r="H38" s="10" t="inlineStr">
        <is>
          <t>millions</t>
        </is>
      </c>
      <c r="I38" s="10" t="inlineStr">
        <is>
          <t>currency</t>
        </is>
      </c>
      <c r="J38" s="10" t="inlineStr">
        <is>
          <t>ZAR</t>
        </is>
      </c>
      <c r="K38" s="10" t="n">
        <v>90</v>
      </c>
      <c r="L38" s="12" t="n"/>
      <c r="M38" s="10" t="inlineStr">
        <is>
          <t>heps_adj_other_investing_gross</t>
        </is>
      </c>
      <c r="N38" s="10" t="inlineStr"/>
    </row>
    <row r="39">
      <c r="A39" s="10" t="n">
        <v>35</v>
      </c>
      <c r="B39" s="10" t="inlineStr">
        <is>
          <t>heps_reconciliation</t>
        </is>
      </c>
      <c r="C39" s="10" t="inlineStr">
        <is>
          <t>36</t>
        </is>
      </c>
      <c r="D39" s="10" t="inlineStr">
        <is>
          <t>Profit on other investing activities [tax effect]</t>
        </is>
      </c>
      <c r="E39" s="10" t="inlineStr">
        <is>
          <t>FY2024</t>
        </is>
      </c>
      <c r="F39" s="10" t="inlineStr">
        <is>
          <t>as_reported</t>
        </is>
      </c>
      <c r="G39" s="11" t="n">
        <v>0</v>
      </c>
      <c r="H39" s="10" t="inlineStr">
        <is>
          <t>millions</t>
        </is>
      </c>
      <c r="I39" s="10" t="inlineStr">
        <is>
          <t>currency</t>
        </is>
      </c>
      <c r="J39" s="10" t="inlineStr">
        <is>
          <t>ZAR</t>
        </is>
      </c>
      <c r="K39" s="10" t="n">
        <v>90</v>
      </c>
      <c r="L39" s="12" t="n"/>
      <c r="M39" s="10" t="inlineStr">
        <is>
          <t>heps_adj_other_investing_tax</t>
        </is>
      </c>
      <c r="N39" s="10" t="inlineStr"/>
    </row>
    <row r="40">
      <c r="A40" s="10" t="n">
        <v>36</v>
      </c>
      <c r="B40" s="10" t="inlineStr">
        <is>
          <t>heps_reconciliation</t>
        </is>
      </c>
      <c r="C40" s="10" t="inlineStr">
        <is>
          <t>36</t>
        </is>
      </c>
      <c r="D40" s="10" t="inlineStr">
        <is>
          <t>Profit on other investing activities [net]</t>
        </is>
      </c>
      <c r="E40" s="10" t="inlineStr">
        <is>
          <t>FY2024</t>
        </is>
      </c>
      <c r="F40" s="10" t="inlineStr">
        <is>
          <t>as_reported</t>
        </is>
      </c>
      <c r="G40" s="11" t="n">
        <v>-1</v>
      </c>
      <c r="H40" s="10" t="inlineStr">
        <is>
          <t>millions</t>
        </is>
      </c>
      <c r="I40" s="10" t="inlineStr">
        <is>
          <t>currency</t>
        </is>
      </c>
      <c r="J40" s="10" t="inlineStr">
        <is>
          <t>ZAR</t>
        </is>
      </c>
      <c r="K40" s="10" t="n">
        <v>90</v>
      </c>
      <c r="L40" s="12" t="n"/>
      <c r="M40" s="10" t="inlineStr">
        <is>
          <t>heps_adj_other_investing_net</t>
        </is>
      </c>
      <c r="N40" s="10" t="inlineStr"/>
    </row>
    <row r="41">
      <c r="A41" s="10" t="n">
        <v>37</v>
      </c>
      <c r="B41" s="10" t="inlineStr">
        <is>
          <t>heps_reconciliation</t>
        </is>
      </c>
      <c r="C41" s="10" t="inlineStr">
        <is>
          <t>36</t>
        </is>
      </c>
      <c r="D41" s="10" t="inlineStr">
        <is>
          <t>Re-measurements attributable to non-controlling interest [gross]</t>
        </is>
      </c>
      <c r="E41" s="10" t="inlineStr">
        <is>
          <t>FY2024</t>
        </is>
      </c>
      <c r="F41" s="10" t="inlineStr">
        <is>
          <t>as_reported</t>
        </is>
      </c>
      <c r="G41" s="11" t="n">
        <v>-58</v>
      </c>
      <c r="H41" s="10" t="inlineStr">
        <is>
          <t>millions</t>
        </is>
      </c>
      <c r="I41" s="10" t="inlineStr">
        <is>
          <t>currency</t>
        </is>
      </c>
      <c r="J41" s="10" t="inlineStr">
        <is>
          <t>ZAR</t>
        </is>
      </c>
      <c r="K41" s="10" t="n">
        <v>90</v>
      </c>
      <c r="L41" s="12" t="n"/>
      <c r="M41" s="10" t="inlineStr">
        <is>
          <t>heps_adj_nci_gross</t>
        </is>
      </c>
      <c r="N41" s="10" t="inlineStr"/>
    </row>
    <row r="42">
      <c r="A42" s="10" t="n">
        <v>38</v>
      </c>
      <c r="B42" s="10" t="inlineStr">
        <is>
          <t>heps_reconciliation</t>
        </is>
      </c>
      <c r="C42" s="10" t="inlineStr">
        <is>
          <t>36</t>
        </is>
      </c>
      <c r="D42" s="10" t="inlineStr">
        <is>
          <t>Re-measurements attributable to non-controlling interest [tax effect]</t>
        </is>
      </c>
      <c r="E42" s="10" t="inlineStr">
        <is>
          <t>FY2024</t>
        </is>
      </c>
      <c r="F42" s="10" t="inlineStr">
        <is>
          <t>as_reported</t>
        </is>
      </c>
      <c r="G42" s="11" t="n">
        <v>0</v>
      </c>
      <c r="H42" s="10" t="inlineStr">
        <is>
          <t>millions</t>
        </is>
      </c>
      <c r="I42" s="10" t="inlineStr">
        <is>
          <t>currency</t>
        </is>
      </c>
      <c r="J42" s="10" t="inlineStr">
        <is>
          <t>ZAR</t>
        </is>
      </c>
      <c r="K42" s="10" t="n">
        <v>90</v>
      </c>
      <c r="L42" s="12" t="n"/>
      <c r="M42" s="10" t="inlineStr">
        <is>
          <t>heps_adj_nci_tax</t>
        </is>
      </c>
      <c r="N42" s="10" t="inlineStr"/>
    </row>
    <row r="43">
      <c r="A43" s="10" t="n">
        <v>39</v>
      </c>
      <c r="B43" s="10" t="inlineStr">
        <is>
          <t>heps_reconciliation</t>
        </is>
      </c>
      <c r="C43" s="10" t="inlineStr">
        <is>
          <t>36</t>
        </is>
      </c>
      <c r="D43" s="10" t="inlineStr">
        <is>
          <t>Re-measurements attributable to non-controlling interest [net]</t>
        </is>
      </c>
      <c r="E43" s="10" t="inlineStr">
        <is>
          <t>FY2024</t>
        </is>
      </c>
      <c r="F43" s="10" t="inlineStr">
        <is>
          <t>as_reported</t>
        </is>
      </c>
      <c r="G43" s="11" t="n">
        <v>-58</v>
      </c>
      <c r="H43" s="10" t="inlineStr">
        <is>
          <t>millions</t>
        </is>
      </c>
      <c r="I43" s="10" t="inlineStr">
        <is>
          <t>currency</t>
        </is>
      </c>
      <c r="J43" s="10" t="inlineStr">
        <is>
          <t>ZAR</t>
        </is>
      </c>
      <c r="K43" s="10" t="n">
        <v>90</v>
      </c>
      <c r="L43" s="12" t="n"/>
      <c r="M43" s="10" t="inlineStr">
        <is>
          <t>heps_adj_nci_net</t>
        </is>
      </c>
      <c r="N43" s="10" t="inlineStr"/>
    </row>
    <row r="44">
      <c r="A44" s="10" t="n">
        <v>40</v>
      </c>
      <c r="B44" s="10" t="inlineStr">
        <is>
          <t>heps_reconciliation</t>
        </is>
      </c>
      <c r="C44" s="10" t="inlineStr">
        <is>
          <t>36</t>
        </is>
      </c>
      <c r="D44" s="10" t="inlineStr">
        <is>
          <t>Headline earnings from continuing operations [gross]</t>
        </is>
      </c>
      <c r="E44" s="10" t="inlineStr">
        <is>
          <t>FY2024</t>
        </is>
      </c>
      <c r="F44" s="10" t="inlineStr">
        <is>
          <t>as_reported</t>
        </is>
      </c>
      <c r="G44" s="11" t="n">
        <v>272</v>
      </c>
      <c r="H44" s="10" t="inlineStr">
        <is>
          <t>millions</t>
        </is>
      </c>
      <c r="I44" s="10" t="inlineStr">
        <is>
          <t>currency</t>
        </is>
      </c>
      <c r="J44" s="10" t="inlineStr">
        <is>
          <t>ZAR</t>
        </is>
      </c>
      <c r="K44" s="10" t="n">
        <v>90</v>
      </c>
      <c r="L44" s="12" t="n"/>
      <c r="M44" s="10" t="inlineStr">
        <is>
          <t>headline_earnings_continuing_gross</t>
        </is>
      </c>
      <c r="N44" s="10" t="inlineStr"/>
    </row>
    <row r="45">
      <c r="A45" s="10" t="n">
        <v>41</v>
      </c>
      <c r="B45" s="10" t="inlineStr">
        <is>
          <t>heps_reconciliation</t>
        </is>
      </c>
      <c r="C45" s="10" t="inlineStr">
        <is>
          <t>36</t>
        </is>
      </c>
      <c r="D45" s="10" t="inlineStr">
        <is>
          <t>Headline earnings from continuing operations [tax effect]</t>
        </is>
      </c>
      <c r="E45" s="10" t="inlineStr">
        <is>
          <t>FY2024</t>
        </is>
      </c>
      <c r="F45" s="10" t="inlineStr">
        <is>
          <t>as_reported</t>
        </is>
      </c>
      <c r="G45" s="11" t="n">
        <v>-38</v>
      </c>
      <c r="H45" s="10" t="inlineStr">
        <is>
          <t>millions</t>
        </is>
      </c>
      <c r="I45" s="10" t="inlineStr">
        <is>
          <t>currency</t>
        </is>
      </c>
      <c r="J45" s="10" t="inlineStr">
        <is>
          <t>ZAR</t>
        </is>
      </c>
      <c r="K45" s="10" t="n">
        <v>90</v>
      </c>
      <c r="L45" s="12" t="n"/>
      <c r="M45" s="10" t="inlineStr">
        <is>
          <t>headline_earnings_continuing_tax</t>
        </is>
      </c>
      <c r="N45" s="10" t="inlineStr"/>
    </row>
    <row r="46">
      <c r="A46" s="10" t="n">
        <v>42</v>
      </c>
      <c r="B46" s="10" t="inlineStr">
        <is>
          <t>heps_reconciliation</t>
        </is>
      </c>
      <c r="C46" s="10" t="inlineStr">
        <is>
          <t>36</t>
        </is>
      </c>
      <c r="D46" s="10" t="inlineStr">
        <is>
          <t>Headline earnings from continuing operations [net]</t>
        </is>
      </c>
      <c r="E46" s="10" t="inlineStr">
        <is>
          <t>FY2024</t>
        </is>
      </c>
      <c r="F46" s="10" t="inlineStr">
        <is>
          <t>as_reported</t>
        </is>
      </c>
      <c r="G46" s="11" t="n">
        <v>6804</v>
      </c>
      <c r="H46" s="10" t="inlineStr">
        <is>
          <t>millions</t>
        </is>
      </c>
      <c r="I46" s="10" t="inlineStr">
        <is>
          <t>currency</t>
        </is>
      </c>
      <c r="J46" s="10" t="inlineStr">
        <is>
          <t>ZAR</t>
        </is>
      </c>
      <c r="K46" s="10" t="n">
        <v>90</v>
      </c>
      <c r="L46" s="12" t="n"/>
      <c r="M46" s="10" t="inlineStr">
        <is>
          <t>headline_earnings_continuing_net</t>
        </is>
      </c>
      <c r="N46" s="10" t="inlineStr"/>
    </row>
    <row r="47">
      <c r="A47" s="10" t="n">
        <v>43</v>
      </c>
      <c r="B47" s="10" t="inlineStr">
        <is>
          <t>heps_reconciliation</t>
        </is>
      </c>
      <c r="C47" s="10" t="inlineStr">
        <is>
          <t>36</t>
        </is>
      </c>
      <c r="D47" s="10" t="inlineStr">
        <is>
          <t>Loss from discontinued operations (deduct) [net]</t>
        </is>
      </c>
      <c r="E47" s="10" t="inlineStr">
        <is>
          <t>FY2024</t>
        </is>
      </c>
      <c r="F47" s="10" t="inlineStr">
        <is>
          <t>as_reported</t>
        </is>
      </c>
      <c r="G47" s="11" t="n">
        <v>-322</v>
      </c>
      <c r="H47" s="10" t="inlineStr">
        <is>
          <t>millions</t>
        </is>
      </c>
      <c r="I47" s="10" t="inlineStr">
        <is>
          <t>currency</t>
        </is>
      </c>
      <c r="J47" s="10" t="inlineStr">
        <is>
          <t>ZAR</t>
        </is>
      </c>
      <c r="K47" s="10" t="n">
        <v>90</v>
      </c>
      <c r="L47" s="12" t="n"/>
      <c r="M47" s="10" t="inlineStr">
        <is>
          <t>heps_disc_deduct_net</t>
        </is>
      </c>
      <c r="N47" s="10" t="inlineStr"/>
    </row>
    <row r="48">
      <c r="A48" s="10" t="n">
        <v>44</v>
      </c>
      <c r="B48" s="10" t="inlineStr">
        <is>
          <t>heps_reconciliation</t>
        </is>
      </c>
      <c r="C48" s="10" t="inlineStr">
        <is>
          <t>36</t>
        </is>
      </c>
      <c r="D48" s="10" t="inlineStr">
        <is>
          <t>Headline earnings [gross]</t>
        </is>
      </c>
      <c r="E48" s="10" t="inlineStr">
        <is>
          <t>FY2024</t>
        </is>
      </c>
      <c r="F48" s="10" t="inlineStr">
        <is>
          <t>as_reported</t>
        </is>
      </c>
      <c r="G48" s="11" t="n">
        <v>272</v>
      </c>
      <c r="H48" s="10" t="inlineStr">
        <is>
          <t>millions</t>
        </is>
      </c>
      <c r="I48" s="10" t="inlineStr">
        <is>
          <t>currency</t>
        </is>
      </c>
      <c r="J48" s="10" t="inlineStr">
        <is>
          <t>ZAR</t>
        </is>
      </c>
      <c r="K48" s="10" t="n">
        <v>90</v>
      </c>
      <c r="L48" s="12" t="n"/>
      <c r="M48" s="10" t="inlineStr">
        <is>
          <t>headline_earnings_gross</t>
        </is>
      </c>
      <c r="N48" s="10" t="inlineStr"/>
    </row>
    <row r="49">
      <c r="A49" s="10" t="n">
        <v>45</v>
      </c>
      <c r="B49" s="10" t="inlineStr">
        <is>
          <t>heps_reconciliation</t>
        </is>
      </c>
      <c r="C49" s="10" t="inlineStr">
        <is>
          <t>36</t>
        </is>
      </c>
      <c r="D49" s="10" t="inlineStr">
        <is>
          <t>Headline earnings [tax effect]</t>
        </is>
      </c>
      <c r="E49" s="10" t="inlineStr">
        <is>
          <t>FY2024</t>
        </is>
      </c>
      <c r="F49" s="10" t="inlineStr">
        <is>
          <t>as_reported</t>
        </is>
      </c>
      <c r="G49" s="11" t="n">
        <v>-38</v>
      </c>
      <c r="H49" s="10" t="inlineStr">
        <is>
          <t>millions</t>
        </is>
      </c>
      <c r="I49" s="10" t="inlineStr">
        <is>
          <t>currency</t>
        </is>
      </c>
      <c r="J49" s="10" t="inlineStr">
        <is>
          <t>ZAR</t>
        </is>
      </c>
      <c r="K49" s="10" t="n">
        <v>90</v>
      </c>
      <c r="L49" s="12" t="n"/>
      <c r="M49" s="10" t="inlineStr">
        <is>
          <t>headline_earnings_tax</t>
        </is>
      </c>
      <c r="N49" s="10" t="inlineStr"/>
    </row>
    <row r="50">
      <c r="A50" s="10" t="n">
        <v>46</v>
      </c>
      <c r="B50" s="10" t="inlineStr">
        <is>
          <t>heps_reconciliation</t>
        </is>
      </c>
      <c r="C50" s="10" t="inlineStr">
        <is>
          <t>36</t>
        </is>
      </c>
      <c r="D50" s="10" t="inlineStr">
        <is>
          <t>Headline earnings [net]</t>
        </is>
      </c>
      <c r="E50" s="10" t="inlineStr">
        <is>
          <t>FY2024</t>
        </is>
      </c>
      <c r="F50" s="10" t="inlineStr">
        <is>
          <t>as_reported</t>
        </is>
      </c>
      <c r="G50" s="11" t="n">
        <v>6482</v>
      </c>
      <c r="H50" s="10" t="inlineStr">
        <is>
          <t>millions</t>
        </is>
      </c>
      <c r="I50" s="10" t="inlineStr">
        <is>
          <t>currency</t>
        </is>
      </c>
      <c r="J50" s="10" t="inlineStr">
        <is>
          <t>ZAR</t>
        </is>
      </c>
      <c r="K50" s="10" t="n">
        <v>90</v>
      </c>
      <c r="L50" s="12" t="n"/>
      <c r="M50" s="10" t="inlineStr">
        <is>
          <t>headline_earnings_net</t>
        </is>
      </c>
      <c r="N50" s="10" t="inlineStr"/>
    </row>
    <row r="51">
      <c r="A51" s="10" t="n">
        <v>47</v>
      </c>
      <c r="B51" s="10" t="inlineStr">
        <is>
          <t>heps_reconciliation</t>
        </is>
      </c>
      <c r="C51" s="10" t="inlineStr">
        <is>
          <t>36</t>
        </is>
      </c>
      <c r="D51" s="10" t="inlineStr">
        <is>
          <t>Headline earnings per share from continuing operations (cents)</t>
        </is>
      </c>
      <c r="E51" s="10" t="inlineStr">
        <is>
          <t>FY2024</t>
        </is>
      </c>
      <c r="F51" s="10" t="inlineStr">
        <is>
          <t>as_reported</t>
        </is>
      </c>
      <c r="G51" s="11" t="n">
        <v>1250.5</v>
      </c>
      <c r="H51" s="10" t="inlineStr">
        <is>
          <t>units</t>
        </is>
      </c>
      <c r="I51" s="10" t="inlineStr">
        <is>
          <t>cents_per_share</t>
        </is>
      </c>
      <c r="J51" s="10" t="inlineStr">
        <is>
          <t>ZAR</t>
        </is>
      </c>
      <c r="K51" s="10" t="n">
        <v>91</v>
      </c>
      <c r="L51" s="12" t="n"/>
      <c r="M51" s="10" t="inlineStr">
        <is>
          <t>heps_continuing</t>
        </is>
      </c>
      <c r="N51" s="10" t="inlineStr">
        <is>
          <t>FY2025 report restates this to 1 185.3</t>
        </is>
      </c>
    </row>
    <row r="52">
      <c r="A52" s="10" t="n">
        <v>48</v>
      </c>
      <c r="B52" s="10" t="inlineStr">
        <is>
          <t>heps_reconciliation</t>
        </is>
      </c>
      <c r="C52" s="10" t="inlineStr">
        <is>
          <t>36</t>
        </is>
      </c>
      <c r="D52" s="10" t="inlineStr">
        <is>
          <t>Headline earnings per share - discontinued (cents)</t>
        </is>
      </c>
      <c r="E52" s="10" t="inlineStr">
        <is>
          <t>FY2024</t>
        </is>
      </c>
      <c r="F52" s="10" t="inlineStr">
        <is>
          <t>as_reported</t>
        </is>
      </c>
      <c r="G52" s="11" t="n">
        <v>-59.1</v>
      </c>
      <c r="H52" s="10" t="inlineStr">
        <is>
          <t>units</t>
        </is>
      </c>
      <c r="I52" s="10" t="inlineStr">
        <is>
          <t>cents_per_share</t>
        </is>
      </c>
      <c r="J52" s="10" t="inlineStr">
        <is>
          <t>ZAR</t>
        </is>
      </c>
      <c r="K52" s="10" t="n">
        <v>91</v>
      </c>
      <c r="L52" s="12" t="n"/>
      <c r="M52" s="10" t="inlineStr">
        <is>
          <t>heps_discontinued</t>
        </is>
      </c>
      <c r="N52" s="10" t="inlineStr"/>
    </row>
    <row r="53">
      <c r="A53" s="10" t="n">
        <v>49</v>
      </c>
      <c r="B53" s="10" t="inlineStr">
        <is>
          <t>heps_reconciliation</t>
        </is>
      </c>
      <c r="C53" s="10" t="inlineStr">
        <is>
          <t>36</t>
        </is>
      </c>
      <c r="D53" s="10" t="inlineStr">
        <is>
          <t>Headline earnings per share - total (cents)</t>
        </is>
      </c>
      <c r="E53" s="10" t="inlineStr">
        <is>
          <t>FY2024</t>
        </is>
      </c>
      <c r="F53" s="10" t="inlineStr">
        <is>
          <t>as_reported</t>
        </is>
      </c>
      <c r="G53" s="11" t="n">
        <v>1191.4</v>
      </c>
      <c r="H53" s="10" t="inlineStr">
        <is>
          <t>units</t>
        </is>
      </c>
      <c r="I53" s="10" t="inlineStr">
        <is>
          <t>cents_per_share</t>
        </is>
      </c>
      <c r="J53" s="10" t="inlineStr">
        <is>
          <t>ZAR</t>
        </is>
      </c>
      <c r="K53" s="10" t="n">
        <v>91</v>
      </c>
      <c r="L53" s="12" t="n"/>
      <c r="M53" s="10" t="inlineStr">
        <is>
          <t>heps_total</t>
        </is>
      </c>
      <c r="N53" s="10" t="inlineStr">
        <is>
          <t>UNCHANGED by the restatement - only the continuing/discontinued split moved</t>
        </is>
      </c>
    </row>
    <row r="54">
      <c r="A54" s="10" t="n">
        <v>50</v>
      </c>
      <c r="B54" s="10" t="inlineStr">
        <is>
          <t>heps_reconciliation</t>
        </is>
      </c>
      <c r="C54" s="10" t="inlineStr">
        <is>
          <t>36</t>
        </is>
      </c>
      <c r="D54" s="10" t="inlineStr">
        <is>
          <t>Diluted headline earnings per share - total (cents)</t>
        </is>
      </c>
      <c r="E54" s="10" t="inlineStr">
        <is>
          <t>FY2024</t>
        </is>
      </c>
      <c r="F54" s="10" t="inlineStr">
        <is>
          <t>as_reported</t>
        </is>
      </c>
      <c r="G54" s="11" t="n">
        <v>1186.3</v>
      </c>
      <c r="H54" s="10" t="inlineStr">
        <is>
          <t>units</t>
        </is>
      </c>
      <c r="I54" s="10" t="inlineStr">
        <is>
          <t>cents_per_share</t>
        </is>
      </c>
      <c r="J54" s="10" t="inlineStr">
        <is>
          <t>ZAR</t>
        </is>
      </c>
      <c r="K54" s="10" t="n">
        <v>91</v>
      </c>
      <c r="L54" s="12" t="n"/>
      <c r="M54" s="10" t="inlineStr">
        <is>
          <t>heps_diluted_total</t>
        </is>
      </c>
      <c r="N54" s="10" t="inlineStr"/>
    </row>
  </sheetData>
  <autoFilter ref="A4:N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9" customWidth="1" min="3" max="3"/>
    <col width="56" customWidth="1" min="4" max="4"/>
    <col width="9" customWidth="1" min="5" max="5"/>
    <col width="13" customWidth="1" min="6" max="6"/>
    <col width="15" customWidth="1" min="7" max="7"/>
    <col width="11" customWidth="1" min="8" max="8"/>
    <col width="10" customWidth="1" min="9" max="9"/>
    <col width="9" customWidth="1" min="10" max="10"/>
    <col width="10" customWidth="1" min="11" max="11"/>
    <col width="9" customWidth="1" min="12" max="12"/>
    <col width="30" customWidth="1" min="13" max="13"/>
    <col width="52" customWidth="1" min="14" max="14"/>
  </cols>
  <sheetData>
    <row r="1">
      <c r="A1" s="6" t="inlineStr">
        <is>
          <t>M2.9/2.10  Operating segment information (note 2.1) - FY2024, FOUR reportable segments</t>
        </is>
      </c>
    </row>
    <row r="2">
      <c r="A2" s="7" t="inlineStr">
        <is>
          <t>Source: Shoprite Holdings Ltd, Annual Financial Statements 2024 (52 weeks ended 30 June 2024), file shp-afs-2024-print.pdf. pdf_page is the PDF page index, pre-filled. VERIFY each value against that page, then set verified to Y.</t>
        </is>
      </c>
    </row>
    <row r="3">
      <c r="A3" s="8" t="inlineStr">
        <is>
          <t>FY2024 has four segments; FY2025 has three. Furniture became a discontinued operation. Segment identity is not stable across years.</t>
        </is>
      </c>
    </row>
    <row r="4">
      <c r="A4" s="9" t="inlineStr">
        <is>
          <t>row_id</t>
        </is>
      </c>
      <c r="B4" s="9" t="inlineStr">
        <is>
          <t>statement</t>
        </is>
      </c>
      <c r="C4" s="9" t="inlineStr">
        <is>
          <t>note_ref</t>
        </is>
      </c>
      <c r="D4" s="9" t="inlineStr">
        <is>
          <t>as_reported_label</t>
        </is>
      </c>
      <c r="E4" s="9" t="inlineStr">
        <is>
          <t>period</t>
        </is>
      </c>
      <c r="F4" s="9" t="inlineStr">
        <is>
          <t>basis</t>
        </is>
      </c>
      <c r="G4" s="9" t="inlineStr">
        <is>
          <t>value_as_printed</t>
        </is>
      </c>
      <c r="H4" s="9" t="inlineStr">
        <is>
          <t>scale</t>
        </is>
      </c>
      <c r="I4" s="9" t="inlineStr">
        <is>
          <t>unit</t>
        </is>
      </c>
      <c r="J4" s="9" t="inlineStr">
        <is>
          <t>currency</t>
        </is>
      </c>
      <c r="K4" s="9" t="inlineStr">
        <is>
          <t>pdf_page</t>
        </is>
      </c>
      <c r="L4" s="9" t="inlineStr">
        <is>
          <t>verified</t>
        </is>
      </c>
      <c r="M4" s="9" t="inlineStr">
        <is>
          <t>concept_suggestion</t>
        </is>
      </c>
      <c r="N4" s="9" t="inlineStr">
        <is>
          <t>notes</t>
        </is>
      </c>
    </row>
    <row r="5">
      <c r="A5" s="10" t="n">
        <v>1</v>
      </c>
      <c r="B5" s="10" t="inlineStr">
        <is>
          <t>segment_note</t>
        </is>
      </c>
      <c r="C5" s="10" t="inlineStr">
        <is>
          <t>2.1</t>
        </is>
      </c>
      <c r="D5" s="10" t="inlineStr">
        <is>
          <t>Sale of merchandise - external :: Supermarkets RSA</t>
        </is>
      </c>
      <c r="E5" s="10" t="inlineStr">
        <is>
          <t>FY2024</t>
        </is>
      </c>
      <c r="F5" s="10" t="inlineStr">
        <is>
          <t>as_reported</t>
        </is>
      </c>
      <c r="G5" s="11" t="n">
        <v>195041</v>
      </c>
      <c r="H5" s="10" t="inlineStr">
        <is>
          <t>millions</t>
        </is>
      </c>
      <c r="I5" s="10" t="inlineStr">
        <is>
          <t>currency</t>
        </is>
      </c>
      <c r="J5" s="10" t="inlineStr">
        <is>
          <t>ZAR</t>
        </is>
      </c>
      <c r="K5" s="10" t="n">
        <v>50</v>
      </c>
      <c r="L5" s="12" t="n"/>
      <c r="M5" s="10" t="inlineStr">
        <is>
          <t>segment_revenue_external</t>
        </is>
      </c>
      <c r="N5" s="10" t="inlineStr"/>
    </row>
    <row r="6">
      <c r="A6" s="10" t="n">
        <v>2</v>
      </c>
      <c r="B6" s="10" t="inlineStr">
        <is>
          <t>segment_note</t>
        </is>
      </c>
      <c r="C6" s="10" t="inlineStr">
        <is>
          <t>2.1</t>
        </is>
      </c>
      <c r="D6" s="10" t="inlineStr">
        <is>
          <t>Sale of merchandise - external :: Supermarkets Non-RSA</t>
        </is>
      </c>
      <c r="E6" s="10" t="inlineStr">
        <is>
          <t>FY2024</t>
        </is>
      </c>
      <c r="F6" s="10" t="inlineStr">
        <is>
          <t>as_reported</t>
        </is>
      </c>
      <c r="G6" s="11" t="n">
        <v>20822</v>
      </c>
      <c r="H6" s="10" t="inlineStr">
        <is>
          <t>millions</t>
        </is>
      </c>
      <c r="I6" s="10" t="inlineStr">
        <is>
          <t>currency</t>
        </is>
      </c>
      <c r="J6" s="10" t="inlineStr">
        <is>
          <t>ZAR</t>
        </is>
      </c>
      <c r="K6" s="10" t="n">
        <v>50</v>
      </c>
      <c r="L6" s="12" t="n"/>
      <c r="M6" s="10" t="inlineStr">
        <is>
          <t>segment_revenue_external</t>
        </is>
      </c>
      <c r="N6" s="10" t="inlineStr"/>
    </row>
    <row r="7">
      <c r="A7" s="10" t="n">
        <v>3</v>
      </c>
      <c r="B7" s="10" t="inlineStr">
        <is>
          <t>segment_note</t>
        </is>
      </c>
      <c r="C7" s="10" t="inlineStr">
        <is>
          <t>2.1</t>
        </is>
      </c>
      <c r="D7" s="10" t="inlineStr">
        <is>
          <t>Sale of merchandise - external :: Furniture</t>
        </is>
      </c>
      <c r="E7" s="10" t="inlineStr">
        <is>
          <t>FY2024</t>
        </is>
      </c>
      <c r="F7" s="10" t="inlineStr">
        <is>
          <t>as_reported</t>
        </is>
      </c>
      <c r="G7" s="11" t="n">
        <v>7230</v>
      </c>
      <c r="H7" s="10" t="inlineStr">
        <is>
          <t>millions</t>
        </is>
      </c>
      <c r="I7" s="10" t="inlineStr">
        <is>
          <t>currency</t>
        </is>
      </c>
      <c r="J7" s="10" t="inlineStr">
        <is>
          <t>ZAR</t>
        </is>
      </c>
      <c r="K7" s="10" t="n">
        <v>50</v>
      </c>
      <c r="L7" s="12" t="n"/>
      <c r="M7" s="10" t="inlineStr">
        <is>
          <t>segment_revenue_external</t>
        </is>
      </c>
      <c r="N7" s="10" t="inlineStr">
        <is>
          <t>FOURTH SEGMENT - does not exist in FY2025, became a discontinued operation</t>
        </is>
      </c>
    </row>
    <row r="8">
      <c r="A8" s="10" t="n">
        <v>4</v>
      </c>
      <c r="B8" s="10" t="inlineStr">
        <is>
          <t>segment_note</t>
        </is>
      </c>
      <c r="C8" s="10" t="inlineStr">
        <is>
          <t>2.1</t>
        </is>
      </c>
      <c r="D8" s="10" t="inlineStr">
        <is>
          <t>Sale of merchandise - external :: Other operating segments</t>
        </is>
      </c>
      <c r="E8" s="10" t="inlineStr">
        <is>
          <t>FY2024</t>
        </is>
      </c>
      <c r="F8" s="10" t="inlineStr">
        <is>
          <t>as_reported</t>
        </is>
      </c>
      <c r="G8" s="11" t="n">
        <v>17718</v>
      </c>
      <c r="H8" s="10" t="inlineStr">
        <is>
          <t>millions</t>
        </is>
      </c>
      <c r="I8" s="10" t="inlineStr">
        <is>
          <t>currency</t>
        </is>
      </c>
      <c r="J8" s="10" t="inlineStr">
        <is>
          <t>ZAR</t>
        </is>
      </c>
      <c r="K8" s="10" t="n">
        <v>50</v>
      </c>
      <c r="L8" s="12" t="n"/>
      <c r="M8" s="10" t="inlineStr">
        <is>
          <t>segment_revenue_external</t>
        </is>
      </c>
      <c r="N8" s="10" t="inlineStr"/>
    </row>
    <row r="9">
      <c r="A9" s="10" t="n">
        <v>5</v>
      </c>
      <c r="B9" s="10" t="inlineStr">
        <is>
          <t>segment_note</t>
        </is>
      </c>
      <c r="C9" s="10" t="inlineStr">
        <is>
          <t>2.1</t>
        </is>
      </c>
      <c r="D9" s="10" t="inlineStr">
        <is>
          <t>Sale of merchandise - external :: Total operating segments</t>
        </is>
      </c>
      <c r="E9" s="10" t="inlineStr">
        <is>
          <t>FY2024</t>
        </is>
      </c>
      <c r="F9" s="10" t="inlineStr">
        <is>
          <t>as_reported</t>
        </is>
      </c>
      <c r="G9" s="11" t="n">
        <v>240811</v>
      </c>
      <c r="H9" s="10" t="inlineStr">
        <is>
          <t>millions</t>
        </is>
      </c>
      <c r="I9" s="10" t="inlineStr">
        <is>
          <t>currency</t>
        </is>
      </c>
      <c r="J9" s="10" t="inlineStr">
        <is>
          <t>ZAR</t>
        </is>
      </c>
      <c r="K9" s="10" t="n">
        <v>50</v>
      </c>
      <c r="L9" s="12" t="n"/>
      <c r="M9" s="10" t="inlineStr">
        <is>
          <t>segment_revenue_external</t>
        </is>
      </c>
      <c r="N9" s="10" t="inlineStr"/>
    </row>
    <row r="10">
      <c r="A10" s="10" t="n">
        <v>6</v>
      </c>
      <c r="B10" s="10" t="inlineStr">
        <is>
          <t>segment_note</t>
        </is>
      </c>
      <c r="C10" s="10" t="inlineStr">
        <is>
          <t>2.1</t>
        </is>
      </c>
      <c r="D10" s="10" t="inlineStr">
        <is>
          <t>Sale of merchandise - external :: Hyperinflation effect</t>
        </is>
      </c>
      <c r="E10" s="10" t="inlineStr">
        <is>
          <t>FY2024</t>
        </is>
      </c>
      <c r="F10" s="10" t="inlineStr">
        <is>
          <t>as_reported</t>
        </is>
      </c>
      <c r="G10" s="11" t="n">
        <v>-93</v>
      </c>
      <c r="H10" s="10" t="inlineStr">
        <is>
          <t>millions</t>
        </is>
      </c>
      <c r="I10" s="10" t="inlineStr">
        <is>
          <t>currency</t>
        </is>
      </c>
      <c r="J10" s="10" t="inlineStr">
        <is>
          <t>ZAR</t>
        </is>
      </c>
      <c r="K10" s="10" t="n">
        <v>50</v>
      </c>
      <c r="L10" s="12" t="n"/>
      <c r="M10" s="10" t="inlineStr">
        <is>
          <t>segment_revenue_external</t>
        </is>
      </c>
      <c r="N10" s="10" t="inlineStr">
        <is>
          <t>Reconciling column. Named 'Hyperinflation effect and other reconciling items' in FY2025</t>
        </is>
      </c>
    </row>
    <row r="11">
      <c r="A11" s="10" t="n">
        <v>7</v>
      </c>
      <c r="B11" s="10" t="inlineStr">
        <is>
          <t>segment_note</t>
        </is>
      </c>
      <c r="C11" s="10" t="inlineStr">
        <is>
          <t>2.1</t>
        </is>
      </c>
      <c r="D11" s="10" t="inlineStr">
        <is>
          <t>Sale of merchandise - external :: Consolidated</t>
        </is>
      </c>
      <c r="E11" s="10" t="inlineStr">
        <is>
          <t>FY2024</t>
        </is>
      </c>
      <c r="F11" s="10" t="inlineStr">
        <is>
          <t>as_reported</t>
        </is>
      </c>
      <c r="G11" s="11" t="n">
        <v>240718</v>
      </c>
      <c r="H11" s="10" t="inlineStr">
        <is>
          <t>millions</t>
        </is>
      </c>
      <c r="I11" s="10" t="inlineStr">
        <is>
          <t>currency</t>
        </is>
      </c>
      <c r="J11" s="10" t="inlineStr">
        <is>
          <t>ZAR</t>
        </is>
      </c>
      <c r="K11" s="10" t="n">
        <v>50</v>
      </c>
      <c r="L11" s="12" t="n"/>
      <c r="M11" s="10" t="inlineStr">
        <is>
          <t>segment_revenue_external</t>
        </is>
      </c>
      <c r="N11" s="10" t="inlineStr"/>
    </row>
    <row r="12">
      <c r="A12" s="10" t="n">
        <v>8</v>
      </c>
      <c r="B12" s="10" t="inlineStr">
        <is>
          <t>segment_note</t>
        </is>
      </c>
      <c r="C12" s="10" t="inlineStr">
        <is>
          <t>2.1</t>
        </is>
      </c>
      <c r="D12" s="10" t="inlineStr">
        <is>
          <t>Sale of merchandise - inter-segment :: Supermarkets RSA</t>
        </is>
      </c>
      <c r="E12" s="10" t="inlineStr">
        <is>
          <t>FY2024</t>
        </is>
      </c>
      <c r="F12" s="10" t="inlineStr">
        <is>
          <t>as_reported</t>
        </is>
      </c>
      <c r="G12" s="11" t="n">
        <v>6392</v>
      </c>
      <c r="H12" s="10" t="inlineStr">
        <is>
          <t>millions</t>
        </is>
      </c>
      <c r="I12" s="10" t="inlineStr">
        <is>
          <t>currency</t>
        </is>
      </c>
      <c r="J12" s="10" t="inlineStr">
        <is>
          <t>ZAR</t>
        </is>
      </c>
      <c r="K12" s="10" t="n">
        <v>50</v>
      </c>
      <c r="L12" s="12" t="n"/>
      <c r="M12" s="10" t="inlineStr">
        <is>
          <t>segment_revenue_intersegment</t>
        </is>
      </c>
      <c r="N12" s="10" t="inlineStr"/>
    </row>
    <row r="13">
      <c r="A13" s="10" t="n">
        <v>9</v>
      </c>
      <c r="B13" s="10" t="inlineStr">
        <is>
          <t>segment_note</t>
        </is>
      </c>
      <c r="C13" s="10" t="inlineStr">
        <is>
          <t>2.1</t>
        </is>
      </c>
      <c r="D13" s="10" t="inlineStr">
        <is>
          <t>Sale of merchandise - inter-segment :: Supermarkets Non-RSA</t>
        </is>
      </c>
      <c r="E13" s="10" t="inlineStr">
        <is>
          <t>FY2024</t>
        </is>
      </c>
      <c r="F13" s="10" t="inlineStr">
        <is>
          <t>as_reported</t>
        </is>
      </c>
      <c r="G13" s="11" t="n">
        <v>46</v>
      </c>
      <c r="H13" s="10" t="inlineStr">
        <is>
          <t>millions</t>
        </is>
      </c>
      <c r="I13" s="10" t="inlineStr">
        <is>
          <t>currency</t>
        </is>
      </c>
      <c r="J13" s="10" t="inlineStr">
        <is>
          <t>ZAR</t>
        </is>
      </c>
      <c r="K13" s="10" t="n">
        <v>50</v>
      </c>
      <c r="L13" s="12" t="n"/>
      <c r="M13" s="10" t="inlineStr">
        <is>
          <t>segment_revenue_intersegment</t>
        </is>
      </c>
      <c r="N13" s="10" t="inlineStr"/>
    </row>
    <row r="14">
      <c r="A14" s="10" t="n">
        <v>10</v>
      </c>
      <c r="B14" s="10" t="inlineStr">
        <is>
          <t>segment_note</t>
        </is>
      </c>
      <c r="C14" s="10" t="inlineStr">
        <is>
          <t>2.1</t>
        </is>
      </c>
      <c r="D14" s="10" t="inlineStr">
        <is>
          <t>Sale of merchandise - inter-segment :: Furniture</t>
        </is>
      </c>
      <c r="E14" s="10" t="inlineStr">
        <is>
          <t>FY2024</t>
        </is>
      </c>
      <c r="F14" s="10" t="inlineStr">
        <is>
          <t>as_reported</t>
        </is>
      </c>
      <c r="G14" s="11" t="n">
        <v>0</v>
      </c>
      <c r="H14" s="10" t="inlineStr">
        <is>
          <t>millions</t>
        </is>
      </c>
      <c r="I14" s="10" t="inlineStr">
        <is>
          <t>currency</t>
        </is>
      </c>
      <c r="J14" s="10" t="inlineStr">
        <is>
          <t>ZAR</t>
        </is>
      </c>
      <c r="K14" s="10" t="n">
        <v>50</v>
      </c>
      <c r="L14" s="12" t="n"/>
      <c r="M14" s="10" t="inlineStr">
        <is>
          <t>segment_revenue_intersegment</t>
        </is>
      </c>
      <c r="N14" s="10" t="inlineStr">
        <is>
          <t>FOURTH SEGMENT - does not exist in FY2025, became a discontinued operation</t>
        </is>
      </c>
    </row>
    <row r="15">
      <c r="A15" s="10" t="n">
        <v>11</v>
      </c>
      <c r="B15" s="10" t="inlineStr">
        <is>
          <t>segment_note</t>
        </is>
      </c>
      <c r="C15" s="10" t="inlineStr">
        <is>
          <t>2.1</t>
        </is>
      </c>
      <c r="D15" s="10" t="inlineStr">
        <is>
          <t>Sale of merchandise - inter-segment :: Other operating segments</t>
        </is>
      </c>
      <c r="E15" s="10" t="inlineStr">
        <is>
          <t>FY2024</t>
        </is>
      </c>
      <c r="F15" s="10" t="inlineStr">
        <is>
          <t>as_reported</t>
        </is>
      </c>
      <c r="G15" s="11" t="n">
        <v>35</v>
      </c>
      <c r="H15" s="10" t="inlineStr">
        <is>
          <t>millions</t>
        </is>
      </c>
      <c r="I15" s="10" t="inlineStr">
        <is>
          <t>currency</t>
        </is>
      </c>
      <c r="J15" s="10" t="inlineStr">
        <is>
          <t>ZAR</t>
        </is>
      </c>
      <c r="K15" s="10" t="n">
        <v>50</v>
      </c>
      <c r="L15" s="12" t="n"/>
      <c r="M15" s="10" t="inlineStr">
        <is>
          <t>segment_revenue_intersegment</t>
        </is>
      </c>
      <c r="N15" s="10" t="inlineStr"/>
    </row>
    <row r="16">
      <c r="A16" s="10" t="n">
        <v>12</v>
      </c>
      <c r="B16" s="10" t="inlineStr">
        <is>
          <t>segment_note</t>
        </is>
      </c>
      <c r="C16" s="10" t="inlineStr">
        <is>
          <t>2.1</t>
        </is>
      </c>
      <c r="D16" s="10" t="inlineStr">
        <is>
          <t>Sale of merchandise - inter-segment :: Total operating segments</t>
        </is>
      </c>
      <c r="E16" s="10" t="inlineStr">
        <is>
          <t>FY2024</t>
        </is>
      </c>
      <c r="F16" s="10" t="inlineStr">
        <is>
          <t>as_reported</t>
        </is>
      </c>
      <c r="G16" s="11" t="n">
        <v>6473</v>
      </c>
      <c r="H16" s="10" t="inlineStr">
        <is>
          <t>millions</t>
        </is>
      </c>
      <c r="I16" s="10" t="inlineStr">
        <is>
          <t>currency</t>
        </is>
      </c>
      <c r="J16" s="10" t="inlineStr">
        <is>
          <t>ZAR</t>
        </is>
      </c>
      <c r="K16" s="10" t="n">
        <v>50</v>
      </c>
      <c r="L16" s="12" t="n"/>
      <c r="M16" s="10" t="inlineStr">
        <is>
          <t>segment_revenue_intersegment</t>
        </is>
      </c>
      <c r="N16" s="10" t="inlineStr"/>
    </row>
    <row r="17">
      <c r="A17" s="10" t="n">
        <v>13</v>
      </c>
      <c r="B17" s="10" t="inlineStr">
        <is>
          <t>segment_note</t>
        </is>
      </c>
      <c r="C17" s="10" t="inlineStr">
        <is>
          <t>2.1</t>
        </is>
      </c>
      <c r="D17" s="10" t="inlineStr">
        <is>
          <t>Sale of merchandise - inter-segment :: Hyperinflation effect</t>
        </is>
      </c>
      <c r="E17" s="10" t="inlineStr">
        <is>
          <t>FY2024</t>
        </is>
      </c>
      <c r="F17" s="10" t="inlineStr">
        <is>
          <t>as_reported</t>
        </is>
      </c>
      <c r="G17" s="11" t="n">
        <v>0</v>
      </c>
      <c r="H17" s="10" t="inlineStr">
        <is>
          <t>millions</t>
        </is>
      </c>
      <c r="I17" s="10" t="inlineStr">
        <is>
          <t>currency</t>
        </is>
      </c>
      <c r="J17" s="10" t="inlineStr">
        <is>
          <t>ZAR</t>
        </is>
      </c>
      <c r="K17" s="10" t="n">
        <v>50</v>
      </c>
      <c r="L17" s="12" t="n"/>
      <c r="M17" s="10" t="inlineStr">
        <is>
          <t>segment_revenue_intersegment</t>
        </is>
      </c>
      <c r="N17" s="10" t="inlineStr">
        <is>
          <t>Reconciling column. Named 'Hyperinflation effect and other reconciling items' in FY2025</t>
        </is>
      </c>
    </row>
    <row r="18">
      <c r="A18" s="10" t="n">
        <v>14</v>
      </c>
      <c r="B18" s="10" t="inlineStr">
        <is>
          <t>segment_note</t>
        </is>
      </c>
      <c r="C18" s="10" t="inlineStr">
        <is>
          <t>2.1</t>
        </is>
      </c>
      <c r="D18" s="10" t="inlineStr">
        <is>
          <t>Sale of merchandise - inter-segment :: Consolidated</t>
        </is>
      </c>
      <c r="E18" s="10" t="inlineStr">
        <is>
          <t>FY2024</t>
        </is>
      </c>
      <c r="F18" s="10" t="inlineStr">
        <is>
          <t>as_reported</t>
        </is>
      </c>
      <c r="G18" s="11" t="n">
        <v>6473</v>
      </c>
      <c r="H18" s="10" t="inlineStr">
        <is>
          <t>millions</t>
        </is>
      </c>
      <c r="I18" s="10" t="inlineStr">
        <is>
          <t>currency</t>
        </is>
      </c>
      <c r="J18" s="10" t="inlineStr">
        <is>
          <t>ZAR</t>
        </is>
      </c>
      <c r="K18" s="10" t="n">
        <v>50</v>
      </c>
      <c r="L18" s="12" t="n"/>
      <c r="M18" s="10" t="inlineStr">
        <is>
          <t>segment_revenue_intersegment</t>
        </is>
      </c>
      <c r="N18" s="10" t="inlineStr"/>
    </row>
    <row r="19">
      <c r="A19" s="10" t="n">
        <v>15</v>
      </c>
      <c r="B19" s="10" t="inlineStr">
        <is>
          <t>segment_note</t>
        </is>
      </c>
      <c r="C19" s="10" t="inlineStr">
        <is>
          <t>2.1</t>
        </is>
      </c>
      <c r="D19" s="10" t="inlineStr">
        <is>
          <t>Sale of merchandise - total :: Supermarkets RSA</t>
        </is>
      </c>
      <c r="E19" s="10" t="inlineStr">
        <is>
          <t>FY2024</t>
        </is>
      </c>
      <c r="F19" s="10" t="inlineStr">
        <is>
          <t>as_reported</t>
        </is>
      </c>
      <c r="G19" s="11" t="n">
        <v>201433</v>
      </c>
      <c r="H19" s="10" t="inlineStr">
        <is>
          <t>millions</t>
        </is>
      </c>
      <c r="I19" s="10" t="inlineStr">
        <is>
          <t>currency</t>
        </is>
      </c>
      <c r="J19" s="10" t="inlineStr">
        <is>
          <t>ZAR</t>
        </is>
      </c>
      <c r="K19" s="10" t="n">
        <v>50</v>
      </c>
      <c r="L19" s="12" t="n"/>
      <c r="M19" s="10" t="inlineStr">
        <is>
          <t>segment_revenue_total</t>
        </is>
      </c>
      <c r="N19" s="10" t="inlineStr"/>
    </row>
    <row r="20">
      <c r="A20" s="10" t="n">
        <v>16</v>
      </c>
      <c r="B20" s="10" t="inlineStr">
        <is>
          <t>segment_note</t>
        </is>
      </c>
      <c r="C20" s="10" t="inlineStr">
        <is>
          <t>2.1</t>
        </is>
      </c>
      <c r="D20" s="10" t="inlineStr">
        <is>
          <t>Sale of merchandise - total :: Supermarkets Non-RSA</t>
        </is>
      </c>
      <c r="E20" s="10" t="inlineStr">
        <is>
          <t>FY2024</t>
        </is>
      </c>
      <c r="F20" s="10" t="inlineStr">
        <is>
          <t>as_reported</t>
        </is>
      </c>
      <c r="G20" s="11" t="n">
        <v>20868</v>
      </c>
      <c r="H20" s="10" t="inlineStr">
        <is>
          <t>millions</t>
        </is>
      </c>
      <c r="I20" s="10" t="inlineStr">
        <is>
          <t>currency</t>
        </is>
      </c>
      <c r="J20" s="10" t="inlineStr">
        <is>
          <t>ZAR</t>
        </is>
      </c>
      <c r="K20" s="10" t="n">
        <v>50</v>
      </c>
      <c r="L20" s="12" t="n"/>
      <c r="M20" s="10" t="inlineStr">
        <is>
          <t>segment_revenue_total</t>
        </is>
      </c>
      <c r="N20" s="10" t="inlineStr"/>
    </row>
    <row r="21">
      <c r="A21" s="10" t="n">
        <v>17</v>
      </c>
      <c r="B21" s="10" t="inlineStr">
        <is>
          <t>segment_note</t>
        </is>
      </c>
      <c r="C21" s="10" t="inlineStr">
        <is>
          <t>2.1</t>
        </is>
      </c>
      <c r="D21" s="10" t="inlineStr">
        <is>
          <t>Sale of merchandise - total :: Furniture</t>
        </is>
      </c>
      <c r="E21" s="10" t="inlineStr">
        <is>
          <t>FY2024</t>
        </is>
      </c>
      <c r="F21" s="10" t="inlineStr">
        <is>
          <t>as_reported</t>
        </is>
      </c>
      <c r="G21" s="11" t="n">
        <v>7230</v>
      </c>
      <c r="H21" s="10" t="inlineStr">
        <is>
          <t>millions</t>
        </is>
      </c>
      <c r="I21" s="10" t="inlineStr">
        <is>
          <t>currency</t>
        </is>
      </c>
      <c r="J21" s="10" t="inlineStr">
        <is>
          <t>ZAR</t>
        </is>
      </c>
      <c r="K21" s="10" t="n">
        <v>50</v>
      </c>
      <c r="L21" s="12" t="n"/>
      <c r="M21" s="10" t="inlineStr">
        <is>
          <t>segment_revenue_total</t>
        </is>
      </c>
      <c r="N21" s="10" t="inlineStr">
        <is>
          <t>FOURTH SEGMENT - does not exist in FY2025, became a discontinued operation</t>
        </is>
      </c>
    </row>
    <row r="22">
      <c r="A22" s="10" t="n">
        <v>18</v>
      </c>
      <c r="B22" s="10" t="inlineStr">
        <is>
          <t>segment_note</t>
        </is>
      </c>
      <c r="C22" s="10" t="inlineStr">
        <is>
          <t>2.1</t>
        </is>
      </c>
      <c r="D22" s="10" t="inlineStr">
        <is>
          <t>Sale of merchandise - total :: Other operating segments</t>
        </is>
      </c>
      <c r="E22" s="10" t="inlineStr">
        <is>
          <t>FY2024</t>
        </is>
      </c>
      <c r="F22" s="10" t="inlineStr">
        <is>
          <t>as_reported</t>
        </is>
      </c>
      <c r="G22" s="11" t="n">
        <v>17753</v>
      </c>
      <c r="H22" s="10" t="inlineStr">
        <is>
          <t>millions</t>
        </is>
      </c>
      <c r="I22" s="10" t="inlineStr">
        <is>
          <t>currency</t>
        </is>
      </c>
      <c r="J22" s="10" t="inlineStr">
        <is>
          <t>ZAR</t>
        </is>
      </c>
      <c r="K22" s="10" t="n">
        <v>50</v>
      </c>
      <c r="L22" s="12" t="n"/>
      <c r="M22" s="10" t="inlineStr">
        <is>
          <t>segment_revenue_total</t>
        </is>
      </c>
      <c r="N22" s="10" t="inlineStr"/>
    </row>
    <row r="23">
      <c r="A23" s="10" t="n">
        <v>19</v>
      </c>
      <c r="B23" s="10" t="inlineStr">
        <is>
          <t>segment_note</t>
        </is>
      </c>
      <c r="C23" s="10" t="inlineStr">
        <is>
          <t>2.1</t>
        </is>
      </c>
      <c r="D23" s="10" t="inlineStr">
        <is>
          <t>Sale of merchandise - total :: Total operating segments</t>
        </is>
      </c>
      <c r="E23" s="10" t="inlineStr">
        <is>
          <t>FY2024</t>
        </is>
      </c>
      <c r="F23" s="10" t="inlineStr">
        <is>
          <t>as_reported</t>
        </is>
      </c>
      <c r="G23" s="11" t="n">
        <v>247284</v>
      </c>
      <c r="H23" s="10" t="inlineStr">
        <is>
          <t>millions</t>
        </is>
      </c>
      <c r="I23" s="10" t="inlineStr">
        <is>
          <t>currency</t>
        </is>
      </c>
      <c r="J23" s="10" t="inlineStr">
        <is>
          <t>ZAR</t>
        </is>
      </c>
      <c r="K23" s="10" t="n">
        <v>50</v>
      </c>
      <c r="L23" s="12" t="n"/>
      <c r="M23" s="10" t="inlineStr">
        <is>
          <t>segment_revenue_total</t>
        </is>
      </c>
      <c r="N23" s="10" t="inlineStr"/>
    </row>
    <row r="24">
      <c r="A24" s="10" t="n">
        <v>20</v>
      </c>
      <c r="B24" s="10" t="inlineStr">
        <is>
          <t>segment_note</t>
        </is>
      </c>
      <c r="C24" s="10" t="inlineStr">
        <is>
          <t>2.1</t>
        </is>
      </c>
      <c r="D24" s="10" t="inlineStr">
        <is>
          <t>Sale of merchandise - total :: Hyperinflation effect</t>
        </is>
      </c>
      <c r="E24" s="10" t="inlineStr">
        <is>
          <t>FY2024</t>
        </is>
      </c>
      <c r="F24" s="10" t="inlineStr">
        <is>
          <t>as_reported</t>
        </is>
      </c>
      <c r="G24" s="11" t="n">
        <v>-93</v>
      </c>
      <c r="H24" s="10" t="inlineStr">
        <is>
          <t>millions</t>
        </is>
      </c>
      <c r="I24" s="10" t="inlineStr">
        <is>
          <t>currency</t>
        </is>
      </c>
      <c r="J24" s="10" t="inlineStr">
        <is>
          <t>ZAR</t>
        </is>
      </c>
      <c r="K24" s="10" t="n">
        <v>50</v>
      </c>
      <c r="L24" s="12" t="n"/>
      <c r="M24" s="10" t="inlineStr">
        <is>
          <t>segment_revenue_total</t>
        </is>
      </c>
      <c r="N24" s="10" t="inlineStr">
        <is>
          <t>Reconciling column. Named 'Hyperinflation effect and other reconciling items' in FY2025</t>
        </is>
      </c>
    </row>
    <row r="25">
      <c r="A25" s="10" t="n">
        <v>21</v>
      </c>
      <c r="B25" s="10" t="inlineStr">
        <is>
          <t>segment_note</t>
        </is>
      </c>
      <c r="C25" s="10" t="inlineStr">
        <is>
          <t>2.1</t>
        </is>
      </c>
      <c r="D25" s="10" t="inlineStr">
        <is>
          <t>Sale of merchandise - total :: Consolidated</t>
        </is>
      </c>
      <c r="E25" s="10" t="inlineStr">
        <is>
          <t>FY2024</t>
        </is>
      </c>
      <c r="F25" s="10" t="inlineStr">
        <is>
          <t>as_reported</t>
        </is>
      </c>
      <c r="G25" s="11" t="n">
        <v>247191</v>
      </c>
      <c r="H25" s="10" t="inlineStr">
        <is>
          <t>millions</t>
        </is>
      </c>
      <c r="I25" s="10" t="inlineStr">
        <is>
          <t>currency</t>
        </is>
      </c>
      <c r="J25" s="10" t="inlineStr">
        <is>
          <t>ZAR</t>
        </is>
      </c>
      <c r="K25" s="10" t="n">
        <v>50</v>
      </c>
      <c r="L25" s="12" t="n"/>
      <c r="M25" s="10" t="inlineStr">
        <is>
          <t>segment_revenue_total</t>
        </is>
      </c>
      <c r="N25" s="10" t="inlineStr"/>
    </row>
    <row r="26">
      <c r="A26" s="10" t="n">
        <v>22</v>
      </c>
      <c r="B26" s="10" t="inlineStr">
        <is>
          <t>segment_note</t>
        </is>
      </c>
      <c r="C26" s="10" t="inlineStr">
        <is>
          <t>2.1</t>
        </is>
      </c>
      <c r="D26" s="10" t="inlineStr">
        <is>
          <t>Trading profit :: Supermarkets RSA</t>
        </is>
      </c>
      <c r="E26" s="10" t="inlineStr">
        <is>
          <t>FY2024</t>
        </is>
      </c>
      <c r="F26" s="10" t="inlineStr">
        <is>
          <t>as_reported</t>
        </is>
      </c>
      <c r="G26" s="11" t="n">
        <v>12036</v>
      </c>
      <c r="H26" s="10" t="inlineStr">
        <is>
          <t>millions</t>
        </is>
      </c>
      <c r="I26" s="10" t="inlineStr">
        <is>
          <t>currency</t>
        </is>
      </c>
      <c r="J26" s="10" t="inlineStr">
        <is>
          <t>ZAR</t>
        </is>
      </c>
      <c r="K26" s="10" t="n">
        <v>50</v>
      </c>
      <c r="L26" s="12" t="n"/>
      <c r="M26" s="10" t="inlineStr">
        <is>
          <t>segment_trading_profit</t>
        </is>
      </c>
      <c r="N26" s="10" t="inlineStr"/>
    </row>
    <row r="27">
      <c r="A27" s="10" t="n">
        <v>23</v>
      </c>
      <c r="B27" s="10" t="inlineStr">
        <is>
          <t>segment_note</t>
        </is>
      </c>
      <c r="C27" s="10" t="inlineStr">
        <is>
          <t>2.1</t>
        </is>
      </c>
      <c r="D27" s="10" t="inlineStr">
        <is>
          <t>Trading profit :: Supermarkets Non-RSA</t>
        </is>
      </c>
      <c r="E27" s="10" t="inlineStr">
        <is>
          <t>FY2024</t>
        </is>
      </c>
      <c r="F27" s="10" t="inlineStr">
        <is>
          <t>as_reported</t>
        </is>
      </c>
      <c r="G27" s="11" t="n">
        <v>631</v>
      </c>
      <c r="H27" s="10" t="inlineStr">
        <is>
          <t>millions</t>
        </is>
      </c>
      <c r="I27" s="10" t="inlineStr">
        <is>
          <t>currency</t>
        </is>
      </c>
      <c r="J27" s="10" t="inlineStr">
        <is>
          <t>ZAR</t>
        </is>
      </c>
      <c r="K27" s="10" t="n">
        <v>50</v>
      </c>
      <c r="L27" s="12" t="n"/>
      <c r="M27" s="10" t="inlineStr">
        <is>
          <t>segment_trading_profit</t>
        </is>
      </c>
      <c r="N27" s="10" t="inlineStr"/>
    </row>
    <row r="28">
      <c r="A28" s="10" t="n">
        <v>24</v>
      </c>
      <c r="B28" s="10" t="inlineStr">
        <is>
          <t>segment_note</t>
        </is>
      </c>
      <c r="C28" s="10" t="inlineStr">
        <is>
          <t>2.1</t>
        </is>
      </c>
      <c r="D28" s="10" t="inlineStr">
        <is>
          <t>Trading profit :: Furniture</t>
        </is>
      </c>
      <c r="E28" s="10" t="inlineStr">
        <is>
          <t>FY2024</t>
        </is>
      </c>
      <c r="F28" s="10" t="inlineStr">
        <is>
          <t>as_reported</t>
        </is>
      </c>
      <c r="G28" s="11" t="n">
        <v>195</v>
      </c>
      <c r="H28" s="10" t="inlineStr">
        <is>
          <t>millions</t>
        </is>
      </c>
      <c r="I28" s="10" t="inlineStr">
        <is>
          <t>currency</t>
        </is>
      </c>
      <c r="J28" s="10" t="inlineStr">
        <is>
          <t>ZAR</t>
        </is>
      </c>
      <c r="K28" s="10" t="n">
        <v>50</v>
      </c>
      <c r="L28" s="12" t="n"/>
      <c r="M28" s="10" t="inlineStr">
        <is>
          <t>segment_trading_profit</t>
        </is>
      </c>
      <c r="N28" s="10" t="inlineStr">
        <is>
          <t>FOURTH SEGMENT - does not exist in FY2025, became a discontinued operation</t>
        </is>
      </c>
    </row>
    <row r="29">
      <c r="A29" s="10" t="n">
        <v>25</v>
      </c>
      <c r="B29" s="10" t="inlineStr">
        <is>
          <t>segment_note</t>
        </is>
      </c>
      <c r="C29" s="10" t="inlineStr">
        <is>
          <t>2.1</t>
        </is>
      </c>
      <c r="D29" s="10" t="inlineStr">
        <is>
          <t>Trading profit :: Other operating segments</t>
        </is>
      </c>
      <c r="E29" s="10" t="inlineStr">
        <is>
          <t>FY2024</t>
        </is>
      </c>
      <c r="F29" s="10" t="inlineStr">
        <is>
          <t>as_reported</t>
        </is>
      </c>
      <c r="G29" s="11" t="n">
        <v>506</v>
      </c>
      <c r="H29" s="10" t="inlineStr">
        <is>
          <t>millions</t>
        </is>
      </c>
      <c r="I29" s="10" t="inlineStr">
        <is>
          <t>currency</t>
        </is>
      </c>
      <c r="J29" s="10" t="inlineStr">
        <is>
          <t>ZAR</t>
        </is>
      </c>
      <c r="K29" s="10" t="n">
        <v>50</v>
      </c>
      <c r="L29" s="12" t="n"/>
      <c r="M29" s="10" t="inlineStr">
        <is>
          <t>segment_trading_profit</t>
        </is>
      </c>
      <c r="N29" s="10" t="inlineStr"/>
    </row>
    <row r="30">
      <c r="A30" s="10" t="n">
        <v>26</v>
      </c>
      <c r="B30" s="10" t="inlineStr">
        <is>
          <t>segment_note</t>
        </is>
      </c>
      <c r="C30" s="10" t="inlineStr">
        <is>
          <t>2.1</t>
        </is>
      </c>
      <c r="D30" s="10" t="inlineStr">
        <is>
          <t>Trading profit :: Total operating segments</t>
        </is>
      </c>
      <c r="E30" s="10" t="inlineStr">
        <is>
          <t>FY2024</t>
        </is>
      </c>
      <c r="F30" s="10" t="inlineStr">
        <is>
          <t>as_reported</t>
        </is>
      </c>
      <c r="G30" s="11" t="n">
        <v>13368</v>
      </c>
      <c r="H30" s="10" t="inlineStr">
        <is>
          <t>millions</t>
        </is>
      </c>
      <c r="I30" s="10" t="inlineStr">
        <is>
          <t>currency</t>
        </is>
      </c>
      <c r="J30" s="10" t="inlineStr">
        <is>
          <t>ZAR</t>
        </is>
      </c>
      <c r="K30" s="10" t="n">
        <v>50</v>
      </c>
      <c r="L30" s="12" t="n"/>
      <c r="M30" s="10" t="inlineStr">
        <is>
          <t>segment_trading_profit</t>
        </is>
      </c>
      <c r="N30" s="10" t="inlineStr"/>
    </row>
    <row r="31">
      <c r="A31" s="10" t="n">
        <v>27</v>
      </c>
      <c r="B31" s="10" t="inlineStr">
        <is>
          <t>segment_note</t>
        </is>
      </c>
      <c r="C31" s="10" t="inlineStr">
        <is>
          <t>2.1</t>
        </is>
      </c>
      <c r="D31" s="10" t="inlineStr">
        <is>
          <t>Trading profit :: Hyperinflation effect</t>
        </is>
      </c>
      <c r="E31" s="10" t="inlineStr">
        <is>
          <t>FY2024</t>
        </is>
      </c>
      <c r="F31" s="10" t="inlineStr">
        <is>
          <t>as_reported</t>
        </is>
      </c>
      <c r="G31" s="11" t="n">
        <v>31</v>
      </c>
      <c r="H31" s="10" t="inlineStr">
        <is>
          <t>millions</t>
        </is>
      </c>
      <c r="I31" s="10" t="inlineStr">
        <is>
          <t>currency</t>
        </is>
      </c>
      <c r="J31" s="10" t="inlineStr">
        <is>
          <t>ZAR</t>
        </is>
      </c>
      <c r="K31" s="10" t="n">
        <v>50</v>
      </c>
      <c r="L31" s="12" t="n"/>
      <c r="M31" s="10" t="inlineStr">
        <is>
          <t>segment_trading_profit</t>
        </is>
      </c>
      <c r="N31" s="10" t="inlineStr">
        <is>
          <t>Reconciling column. Named 'Hyperinflation effect and other reconciling items' in FY2025</t>
        </is>
      </c>
    </row>
    <row r="32">
      <c r="A32" s="10" t="n">
        <v>28</v>
      </c>
      <c r="B32" s="10" t="inlineStr">
        <is>
          <t>segment_note</t>
        </is>
      </c>
      <c r="C32" s="10" t="inlineStr">
        <is>
          <t>2.1</t>
        </is>
      </c>
      <c r="D32" s="10" t="inlineStr">
        <is>
          <t>Trading profit :: Consolidated</t>
        </is>
      </c>
      <c r="E32" s="10" t="inlineStr">
        <is>
          <t>FY2024</t>
        </is>
      </c>
      <c r="F32" s="10" t="inlineStr">
        <is>
          <t>as_reported</t>
        </is>
      </c>
      <c r="G32" s="11" t="n">
        <v>13399</v>
      </c>
      <c r="H32" s="10" t="inlineStr">
        <is>
          <t>millions</t>
        </is>
      </c>
      <c r="I32" s="10" t="inlineStr">
        <is>
          <t>currency</t>
        </is>
      </c>
      <c r="J32" s="10" t="inlineStr">
        <is>
          <t>ZAR</t>
        </is>
      </c>
      <c r="K32" s="10" t="n">
        <v>50</v>
      </c>
      <c r="L32" s="12" t="n"/>
      <c r="M32" s="10" t="inlineStr">
        <is>
          <t>segment_trading_profit</t>
        </is>
      </c>
      <c r="N32" s="10" t="inlineStr"/>
    </row>
    <row r="33">
      <c r="A33" s="10" t="n">
        <v>29</v>
      </c>
      <c r="B33" s="10" t="inlineStr">
        <is>
          <t>segment_note</t>
        </is>
      </c>
      <c r="C33" s="10" t="inlineStr">
        <is>
          <t>2.1</t>
        </is>
      </c>
      <c r="D33" s="10" t="inlineStr">
        <is>
          <t>Interest revenue included in trading profit :: Supermarkets RSA</t>
        </is>
      </c>
      <c r="E33" s="10" t="inlineStr">
        <is>
          <t>FY2024</t>
        </is>
      </c>
      <c r="F33" s="10" t="inlineStr">
        <is>
          <t>as_reported</t>
        </is>
      </c>
      <c r="G33" s="11" t="n">
        <v>102</v>
      </c>
      <c r="H33" s="10" t="inlineStr">
        <is>
          <t>millions</t>
        </is>
      </c>
      <c r="I33" s="10" t="inlineStr">
        <is>
          <t>currency</t>
        </is>
      </c>
      <c r="J33" s="10" t="inlineStr">
        <is>
          <t>ZAR</t>
        </is>
      </c>
      <c r="K33" s="10" t="n">
        <v>50</v>
      </c>
      <c r="L33" s="12" t="n"/>
      <c r="M33" s="10" t="inlineStr">
        <is>
          <t>segment_interest_revenue</t>
        </is>
      </c>
      <c r="N33" s="10" t="inlineStr"/>
    </row>
    <row r="34">
      <c r="A34" s="10" t="n">
        <v>30</v>
      </c>
      <c r="B34" s="10" t="inlineStr">
        <is>
          <t>segment_note</t>
        </is>
      </c>
      <c r="C34" s="10" t="inlineStr">
        <is>
          <t>2.1</t>
        </is>
      </c>
      <c r="D34" s="10" t="inlineStr">
        <is>
          <t>Interest revenue included in trading profit :: Supermarkets Non-RSA</t>
        </is>
      </c>
      <c r="E34" s="10" t="inlineStr">
        <is>
          <t>FY2024</t>
        </is>
      </c>
      <c r="F34" s="10" t="inlineStr">
        <is>
          <t>as_reported</t>
        </is>
      </c>
      <c r="G34" s="11" t="n">
        <v>138</v>
      </c>
      <c r="H34" s="10" t="inlineStr">
        <is>
          <t>millions</t>
        </is>
      </c>
      <c r="I34" s="10" t="inlineStr">
        <is>
          <t>currency</t>
        </is>
      </c>
      <c r="J34" s="10" t="inlineStr">
        <is>
          <t>ZAR</t>
        </is>
      </c>
      <c r="K34" s="10" t="n">
        <v>50</v>
      </c>
      <c r="L34" s="12" t="n"/>
      <c r="M34" s="10" t="inlineStr">
        <is>
          <t>segment_interest_revenue</t>
        </is>
      </c>
      <c r="N34" s="10" t="inlineStr"/>
    </row>
    <row r="35">
      <c r="A35" s="10" t="n">
        <v>31</v>
      </c>
      <c r="B35" s="10" t="inlineStr">
        <is>
          <t>segment_note</t>
        </is>
      </c>
      <c r="C35" s="10" t="inlineStr">
        <is>
          <t>2.1</t>
        </is>
      </c>
      <c r="D35" s="10" t="inlineStr">
        <is>
          <t>Interest revenue included in trading profit :: Furniture</t>
        </is>
      </c>
      <c r="E35" s="10" t="inlineStr">
        <is>
          <t>FY2024</t>
        </is>
      </c>
      <c r="F35" s="10" t="inlineStr">
        <is>
          <t>as_reported</t>
        </is>
      </c>
      <c r="G35" s="11" t="n">
        <v>445</v>
      </c>
      <c r="H35" s="10" t="inlineStr">
        <is>
          <t>millions</t>
        </is>
      </c>
      <c r="I35" s="10" t="inlineStr">
        <is>
          <t>currency</t>
        </is>
      </c>
      <c r="J35" s="10" t="inlineStr">
        <is>
          <t>ZAR</t>
        </is>
      </c>
      <c r="K35" s="10" t="n">
        <v>50</v>
      </c>
      <c r="L35" s="12" t="n"/>
      <c r="M35" s="10" t="inlineStr">
        <is>
          <t>segment_interest_revenue</t>
        </is>
      </c>
      <c r="N35" s="10" t="inlineStr">
        <is>
          <t>FOURTH SEGMENT - does not exist in FY2025, became a discontinued operation</t>
        </is>
      </c>
    </row>
    <row r="36">
      <c r="A36" s="10" t="n">
        <v>32</v>
      </c>
      <c r="B36" s="10" t="inlineStr">
        <is>
          <t>segment_note</t>
        </is>
      </c>
      <c r="C36" s="10" t="inlineStr">
        <is>
          <t>2.1</t>
        </is>
      </c>
      <c r="D36" s="10" t="inlineStr">
        <is>
          <t>Interest revenue included in trading profit :: Other operating segments</t>
        </is>
      </c>
      <c r="E36" s="10" t="inlineStr">
        <is>
          <t>FY2024</t>
        </is>
      </c>
      <c r="F36" s="10" t="inlineStr">
        <is>
          <t>as_reported</t>
        </is>
      </c>
      <c r="G36" s="11" t="n">
        <v>74</v>
      </c>
      <c r="H36" s="10" t="inlineStr">
        <is>
          <t>millions</t>
        </is>
      </c>
      <c r="I36" s="10" t="inlineStr">
        <is>
          <t>currency</t>
        </is>
      </c>
      <c r="J36" s="10" t="inlineStr">
        <is>
          <t>ZAR</t>
        </is>
      </c>
      <c r="K36" s="10" t="n">
        <v>50</v>
      </c>
      <c r="L36" s="12" t="n"/>
      <c r="M36" s="10" t="inlineStr">
        <is>
          <t>segment_interest_revenue</t>
        </is>
      </c>
      <c r="N36" s="10" t="inlineStr"/>
    </row>
    <row r="37">
      <c r="A37" s="10" t="n">
        <v>33</v>
      </c>
      <c r="B37" s="10" t="inlineStr">
        <is>
          <t>segment_note</t>
        </is>
      </c>
      <c r="C37" s="10" t="inlineStr">
        <is>
          <t>2.1</t>
        </is>
      </c>
      <c r="D37" s="10" t="inlineStr">
        <is>
          <t>Interest revenue included in trading profit :: Total operating segments</t>
        </is>
      </c>
      <c r="E37" s="10" t="inlineStr">
        <is>
          <t>FY2024</t>
        </is>
      </c>
      <c r="F37" s="10" t="inlineStr">
        <is>
          <t>as_reported</t>
        </is>
      </c>
      <c r="G37" s="11" t="n">
        <v>759</v>
      </c>
      <c r="H37" s="10" t="inlineStr">
        <is>
          <t>millions</t>
        </is>
      </c>
      <c r="I37" s="10" t="inlineStr">
        <is>
          <t>currency</t>
        </is>
      </c>
      <c r="J37" s="10" t="inlineStr">
        <is>
          <t>ZAR</t>
        </is>
      </c>
      <c r="K37" s="10" t="n">
        <v>50</v>
      </c>
      <c r="L37" s="12" t="n"/>
      <c r="M37" s="10" t="inlineStr">
        <is>
          <t>segment_interest_revenue</t>
        </is>
      </c>
      <c r="N37" s="10" t="inlineStr"/>
    </row>
    <row r="38">
      <c r="A38" s="10" t="n">
        <v>34</v>
      </c>
      <c r="B38" s="10" t="inlineStr">
        <is>
          <t>segment_note</t>
        </is>
      </c>
      <c r="C38" s="10" t="inlineStr">
        <is>
          <t>2.1</t>
        </is>
      </c>
      <c r="D38" s="10" t="inlineStr">
        <is>
          <t>Interest revenue included in trading profit :: Hyperinflation effect</t>
        </is>
      </c>
      <c r="E38" s="10" t="inlineStr">
        <is>
          <t>FY2024</t>
        </is>
      </c>
      <c r="F38" s="10" t="inlineStr">
        <is>
          <t>as_reported</t>
        </is>
      </c>
      <c r="G38" s="11" t="n">
        <v>0</v>
      </c>
      <c r="H38" s="10" t="inlineStr">
        <is>
          <t>millions</t>
        </is>
      </c>
      <c r="I38" s="10" t="inlineStr">
        <is>
          <t>currency</t>
        </is>
      </c>
      <c r="J38" s="10" t="inlineStr">
        <is>
          <t>ZAR</t>
        </is>
      </c>
      <c r="K38" s="10" t="n">
        <v>50</v>
      </c>
      <c r="L38" s="12" t="n"/>
      <c r="M38" s="10" t="inlineStr">
        <is>
          <t>segment_interest_revenue</t>
        </is>
      </c>
      <c r="N38" s="10" t="inlineStr">
        <is>
          <t>Reconciling column. Named 'Hyperinflation effect and other reconciling items' in FY2025</t>
        </is>
      </c>
    </row>
    <row r="39">
      <c r="A39" s="10" t="n">
        <v>35</v>
      </c>
      <c r="B39" s="10" t="inlineStr">
        <is>
          <t>segment_note</t>
        </is>
      </c>
      <c r="C39" s="10" t="inlineStr">
        <is>
          <t>2.1</t>
        </is>
      </c>
      <c r="D39" s="10" t="inlineStr">
        <is>
          <t>Interest revenue included in trading profit :: Consolidated</t>
        </is>
      </c>
      <c r="E39" s="10" t="inlineStr">
        <is>
          <t>FY2024</t>
        </is>
      </c>
      <c r="F39" s="10" t="inlineStr">
        <is>
          <t>as_reported</t>
        </is>
      </c>
      <c r="G39" s="11" t="n">
        <v>759</v>
      </c>
      <c r="H39" s="10" t="inlineStr">
        <is>
          <t>millions</t>
        </is>
      </c>
      <c r="I39" s="10" t="inlineStr">
        <is>
          <t>currency</t>
        </is>
      </c>
      <c r="J39" s="10" t="inlineStr">
        <is>
          <t>ZAR</t>
        </is>
      </c>
      <c r="K39" s="10" t="n">
        <v>50</v>
      </c>
      <c r="L39" s="12" t="n"/>
      <c r="M39" s="10" t="inlineStr">
        <is>
          <t>segment_interest_revenue</t>
        </is>
      </c>
      <c r="N39" s="10" t="inlineStr"/>
    </row>
    <row r="40">
      <c r="A40" s="10" t="n">
        <v>36</v>
      </c>
      <c r="B40" s="10" t="inlineStr">
        <is>
          <t>segment_note</t>
        </is>
      </c>
      <c r="C40" s="10" t="inlineStr">
        <is>
          <t>2.1</t>
        </is>
      </c>
      <c r="D40" s="10" t="inlineStr">
        <is>
          <t>Depreciation and amortisation :: Supermarkets RSA</t>
        </is>
      </c>
      <c r="E40" s="10" t="inlineStr">
        <is>
          <t>FY2024</t>
        </is>
      </c>
      <c r="F40" s="10" t="inlineStr">
        <is>
          <t>as_reported</t>
        </is>
      </c>
      <c r="G40" s="11" t="n">
        <v>6876</v>
      </c>
      <c r="H40" s="10" t="inlineStr">
        <is>
          <t>millions</t>
        </is>
      </c>
      <c r="I40" s="10" t="inlineStr">
        <is>
          <t>currency</t>
        </is>
      </c>
      <c r="J40" s="10" t="inlineStr">
        <is>
          <t>ZAR</t>
        </is>
      </c>
      <c r="K40" s="10" t="n">
        <v>50</v>
      </c>
      <c r="L40" s="12" t="n"/>
      <c r="M40" s="10" t="inlineStr">
        <is>
          <t>segment_depreciation_amortisation</t>
        </is>
      </c>
      <c r="N40" s="10" t="inlineStr"/>
    </row>
    <row r="41">
      <c r="A41" s="10" t="n">
        <v>37</v>
      </c>
      <c r="B41" s="10" t="inlineStr">
        <is>
          <t>segment_note</t>
        </is>
      </c>
      <c r="C41" s="10" t="inlineStr">
        <is>
          <t>2.1</t>
        </is>
      </c>
      <c r="D41" s="10" t="inlineStr">
        <is>
          <t>Depreciation and amortisation :: Supermarkets Non-RSA</t>
        </is>
      </c>
      <c r="E41" s="10" t="inlineStr">
        <is>
          <t>FY2024</t>
        </is>
      </c>
      <c r="F41" s="10" t="inlineStr">
        <is>
          <t>as_reported</t>
        </is>
      </c>
      <c r="G41" s="11" t="n">
        <v>703</v>
      </c>
      <c r="H41" s="10" t="inlineStr">
        <is>
          <t>millions</t>
        </is>
      </c>
      <c r="I41" s="10" t="inlineStr">
        <is>
          <t>currency</t>
        </is>
      </c>
      <c r="J41" s="10" t="inlineStr">
        <is>
          <t>ZAR</t>
        </is>
      </c>
      <c r="K41" s="10" t="n">
        <v>50</v>
      </c>
      <c r="L41" s="12" t="n"/>
      <c r="M41" s="10" t="inlineStr">
        <is>
          <t>segment_depreciation_amortisation</t>
        </is>
      </c>
      <c r="N41" s="10" t="inlineStr"/>
    </row>
    <row r="42">
      <c r="A42" s="10" t="n">
        <v>38</v>
      </c>
      <c r="B42" s="10" t="inlineStr">
        <is>
          <t>segment_note</t>
        </is>
      </c>
      <c r="C42" s="10" t="inlineStr">
        <is>
          <t>2.1</t>
        </is>
      </c>
      <c r="D42" s="10" t="inlineStr">
        <is>
          <t>Depreciation and amortisation :: Furniture</t>
        </is>
      </c>
      <c r="E42" s="10" t="inlineStr">
        <is>
          <t>FY2024</t>
        </is>
      </c>
      <c r="F42" s="10" t="inlineStr">
        <is>
          <t>as_reported</t>
        </is>
      </c>
      <c r="G42" s="11" t="n">
        <v>365</v>
      </c>
      <c r="H42" s="10" t="inlineStr">
        <is>
          <t>millions</t>
        </is>
      </c>
      <c r="I42" s="10" t="inlineStr">
        <is>
          <t>currency</t>
        </is>
      </c>
      <c r="J42" s="10" t="inlineStr">
        <is>
          <t>ZAR</t>
        </is>
      </c>
      <c r="K42" s="10" t="n">
        <v>50</v>
      </c>
      <c r="L42" s="12" t="n"/>
      <c r="M42" s="10" t="inlineStr">
        <is>
          <t>segment_depreciation_amortisation</t>
        </is>
      </c>
      <c r="N42" s="10" t="inlineStr">
        <is>
          <t>FOURTH SEGMENT - does not exist in FY2025, became a discontinued operation</t>
        </is>
      </c>
    </row>
    <row r="43">
      <c r="A43" s="10" t="n">
        <v>39</v>
      </c>
      <c r="B43" s="10" t="inlineStr">
        <is>
          <t>segment_note</t>
        </is>
      </c>
      <c r="C43" s="10" t="inlineStr">
        <is>
          <t>2.1</t>
        </is>
      </c>
      <c r="D43" s="10" t="inlineStr">
        <is>
          <t>Depreciation and amortisation :: Other operating segments</t>
        </is>
      </c>
      <c r="E43" s="10" t="inlineStr">
        <is>
          <t>FY2024</t>
        </is>
      </c>
      <c r="F43" s="10" t="inlineStr">
        <is>
          <t>as_reported</t>
        </is>
      </c>
      <c r="G43" s="11" t="n">
        <v>104</v>
      </c>
      <c r="H43" s="10" t="inlineStr">
        <is>
          <t>millions</t>
        </is>
      </c>
      <c r="I43" s="10" t="inlineStr">
        <is>
          <t>currency</t>
        </is>
      </c>
      <c r="J43" s="10" t="inlineStr">
        <is>
          <t>ZAR</t>
        </is>
      </c>
      <c r="K43" s="10" t="n">
        <v>50</v>
      </c>
      <c r="L43" s="12" t="n"/>
      <c r="M43" s="10" t="inlineStr">
        <is>
          <t>segment_depreciation_amortisation</t>
        </is>
      </c>
      <c r="N43" s="10" t="inlineStr"/>
    </row>
    <row r="44">
      <c r="A44" s="10" t="n">
        <v>40</v>
      </c>
      <c r="B44" s="10" t="inlineStr">
        <is>
          <t>segment_note</t>
        </is>
      </c>
      <c r="C44" s="10" t="inlineStr">
        <is>
          <t>2.1</t>
        </is>
      </c>
      <c r="D44" s="10" t="inlineStr">
        <is>
          <t>Depreciation and amortisation :: Total operating segments</t>
        </is>
      </c>
      <c r="E44" s="10" t="inlineStr">
        <is>
          <t>FY2024</t>
        </is>
      </c>
      <c r="F44" s="10" t="inlineStr">
        <is>
          <t>as_reported</t>
        </is>
      </c>
      <c r="G44" s="11" t="n">
        <v>8048</v>
      </c>
      <c r="H44" s="10" t="inlineStr">
        <is>
          <t>millions</t>
        </is>
      </c>
      <c r="I44" s="10" t="inlineStr">
        <is>
          <t>currency</t>
        </is>
      </c>
      <c r="J44" s="10" t="inlineStr">
        <is>
          <t>ZAR</t>
        </is>
      </c>
      <c r="K44" s="10" t="n">
        <v>50</v>
      </c>
      <c r="L44" s="12" t="n"/>
      <c r="M44" s="10" t="inlineStr">
        <is>
          <t>segment_depreciation_amortisation</t>
        </is>
      </c>
      <c r="N44" s="10" t="inlineStr"/>
    </row>
    <row r="45">
      <c r="A45" s="10" t="n">
        <v>41</v>
      </c>
      <c r="B45" s="10" t="inlineStr">
        <is>
          <t>segment_note</t>
        </is>
      </c>
      <c r="C45" s="10" t="inlineStr">
        <is>
          <t>2.1</t>
        </is>
      </c>
      <c r="D45" s="10" t="inlineStr">
        <is>
          <t>Depreciation and amortisation :: Hyperinflation effect</t>
        </is>
      </c>
      <c r="E45" s="10" t="inlineStr">
        <is>
          <t>FY2024</t>
        </is>
      </c>
      <c r="F45" s="10" t="inlineStr">
        <is>
          <t>as_reported</t>
        </is>
      </c>
      <c r="G45" s="11" t="n">
        <v>72</v>
      </c>
      <c r="H45" s="10" t="inlineStr">
        <is>
          <t>millions</t>
        </is>
      </c>
      <c r="I45" s="10" t="inlineStr">
        <is>
          <t>currency</t>
        </is>
      </c>
      <c r="J45" s="10" t="inlineStr">
        <is>
          <t>ZAR</t>
        </is>
      </c>
      <c r="K45" s="10" t="n">
        <v>50</v>
      </c>
      <c r="L45" s="12" t="n"/>
      <c r="M45" s="10" t="inlineStr">
        <is>
          <t>segment_depreciation_amortisation</t>
        </is>
      </c>
      <c r="N45" s="10" t="inlineStr">
        <is>
          <t>Reconciling column. Named 'Hyperinflation effect and other reconciling items' in FY2025</t>
        </is>
      </c>
    </row>
    <row r="46">
      <c r="A46" s="10" t="n">
        <v>42</v>
      </c>
      <c r="B46" s="10" t="inlineStr">
        <is>
          <t>segment_note</t>
        </is>
      </c>
      <c r="C46" s="10" t="inlineStr">
        <is>
          <t>2.1</t>
        </is>
      </c>
      <c r="D46" s="10" t="inlineStr">
        <is>
          <t>Depreciation and amortisation :: Consolidated</t>
        </is>
      </c>
      <c r="E46" s="10" t="inlineStr">
        <is>
          <t>FY2024</t>
        </is>
      </c>
      <c r="F46" s="10" t="inlineStr">
        <is>
          <t>as_reported</t>
        </is>
      </c>
      <c r="G46" s="11" t="n">
        <v>8120</v>
      </c>
      <c r="H46" s="10" t="inlineStr">
        <is>
          <t>millions</t>
        </is>
      </c>
      <c r="I46" s="10" t="inlineStr">
        <is>
          <t>currency</t>
        </is>
      </c>
      <c r="J46" s="10" t="inlineStr">
        <is>
          <t>ZAR</t>
        </is>
      </c>
      <c r="K46" s="10" t="n">
        <v>50</v>
      </c>
      <c r="L46" s="12" t="n"/>
      <c r="M46" s="10" t="inlineStr">
        <is>
          <t>segment_depreciation_amortisation</t>
        </is>
      </c>
      <c r="N46" s="10" t="inlineStr"/>
    </row>
    <row r="47">
      <c r="A47" s="10" t="n">
        <v>43</v>
      </c>
      <c r="B47" s="10" t="inlineStr">
        <is>
          <t>segment_note</t>
        </is>
      </c>
      <c r="C47" s="10" t="inlineStr">
        <is>
          <t>2.1</t>
        </is>
      </c>
      <c r="D47" s="10" t="inlineStr">
        <is>
          <t>Total assets :: Supermarkets RSA</t>
        </is>
      </c>
      <c r="E47" s="10" t="inlineStr">
        <is>
          <t>FY2024</t>
        </is>
      </c>
      <c r="F47" s="10" t="inlineStr">
        <is>
          <t>as_reported</t>
        </is>
      </c>
      <c r="G47" s="11" t="n">
        <v>88444</v>
      </c>
      <c r="H47" s="10" t="inlineStr">
        <is>
          <t>millions</t>
        </is>
      </c>
      <c r="I47" s="10" t="inlineStr">
        <is>
          <t>currency</t>
        </is>
      </c>
      <c r="J47" s="10" t="inlineStr">
        <is>
          <t>ZAR</t>
        </is>
      </c>
      <c r="K47" s="10" t="n">
        <v>50</v>
      </c>
      <c r="L47" s="12" t="n"/>
      <c r="M47" s="10" t="inlineStr">
        <is>
          <t>segment_total_assets</t>
        </is>
      </c>
      <c r="N47" s="10" t="inlineStr"/>
    </row>
    <row r="48">
      <c r="A48" s="10" t="n">
        <v>44</v>
      </c>
      <c r="B48" s="10" t="inlineStr">
        <is>
          <t>segment_note</t>
        </is>
      </c>
      <c r="C48" s="10" t="inlineStr">
        <is>
          <t>2.1</t>
        </is>
      </c>
      <c r="D48" s="10" t="inlineStr">
        <is>
          <t>Total assets :: Supermarkets Non-RSA</t>
        </is>
      </c>
      <c r="E48" s="10" t="inlineStr">
        <is>
          <t>FY2024</t>
        </is>
      </c>
      <c r="F48" s="10" t="inlineStr">
        <is>
          <t>as_reported</t>
        </is>
      </c>
      <c r="G48" s="11" t="n">
        <v>11239</v>
      </c>
      <c r="H48" s="10" t="inlineStr">
        <is>
          <t>millions</t>
        </is>
      </c>
      <c r="I48" s="10" t="inlineStr">
        <is>
          <t>currency</t>
        </is>
      </c>
      <c r="J48" s="10" t="inlineStr">
        <is>
          <t>ZAR</t>
        </is>
      </c>
      <c r="K48" s="10" t="n">
        <v>50</v>
      </c>
      <c r="L48" s="12" t="n"/>
      <c r="M48" s="10" t="inlineStr">
        <is>
          <t>segment_total_assets</t>
        </is>
      </c>
      <c r="N48" s="10" t="inlineStr"/>
    </row>
    <row r="49">
      <c r="A49" s="10" t="n">
        <v>45</v>
      </c>
      <c r="B49" s="10" t="inlineStr">
        <is>
          <t>segment_note</t>
        </is>
      </c>
      <c r="C49" s="10" t="inlineStr">
        <is>
          <t>2.1</t>
        </is>
      </c>
      <c r="D49" s="10" t="inlineStr">
        <is>
          <t>Total assets :: Furniture</t>
        </is>
      </c>
      <c r="E49" s="10" t="inlineStr">
        <is>
          <t>FY2024</t>
        </is>
      </c>
      <c r="F49" s="10" t="inlineStr">
        <is>
          <t>as_reported</t>
        </is>
      </c>
      <c r="G49" s="11" t="n">
        <v>6063</v>
      </c>
      <c r="H49" s="10" t="inlineStr">
        <is>
          <t>millions</t>
        </is>
      </c>
      <c r="I49" s="10" t="inlineStr">
        <is>
          <t>currency</t>
        </is>
      </c>
      <c r="J49" s="10" t="inlineStr">
        <is>
          <t>ZAR</t>
        </is>
      </c>
      <c r="K49" s="10" t="n">
        <v>50</v>
      </c>
      <c r="L49" s="12" t="n"/>
      <c r="M49" s="10" t="inlineStr">
        <is>
          <t>segment_total_assets</t>
        </is>
      </c>
      <c r="N49" s="10" t="inlineStr">
        <is>
          <t>FOURTH SEGMENT - does not exist in FY2025, became a discontinued operation</t>
        </is>
      </c>
    </row>
    <row r="50">
      <c r="A50" s="10" t="n">
        <v>46</v>
      </c>
      <c r="B50" s="10" t="inlineStr">
        <is>
          <t>segment_note</t>
        </is>
      </c>
      <c r="C50" s="10" t="inlineStr">
        <is>
          <t>2.1</t>
        </is>
      </c>
      <c r="D50" s="10" t="inlineStr">
        <is>
          <t>Total assets :: Other operating segments</t>
        </is>
      </c>
      <c r="E50" s="10" t="inlineStr">
        <is>
          <t>FY2024</t>
        </is>
      </c>
      <c r="F50" s="10" t="inlineStr">
        <is>
          <t>as_reported</t>
        </is>
      </c>
      <c r="G50" s="11" t="n">
        <v>5865</v>
      </c>
      <c r="H50" s="10" t="inlineStr">
        <is>
          <t>millions</t>
        </is>
      </c>
      <c r="I50" s="10" t="inlineStr">
        <is>
          <t>currency</t>
        </is>
      </c>
      <c r="J50" s="10" t="inlineStr">
        <is>
          <t>ZAR</t>
        </is>
      </c>
      <c r="K50" s="10" t="n">
        <v>50</v>
      </c>
      <c r="L50" s="12" t="n"/>
      <c r="M50" s="10" t="inlineStr">
        <is>
          <t>segment_total_assets</t>
        </is>
      </c>
      <c r="N50" s="10" t="inlineStr"/>
    </row>
    <row r="51">
      <c r="A51" s="10" t="n">
        <v>47</v>
      </c>
      <c r="B51" s="10" t="inlineStr">
        <is>
          <t>segment_note</t>
        </is>
      </c>
      <c r="C51" s="10" t="inlineStr">
        <is>
          <t>2.1</t>
        </is>
      </c>
      <c r="D51" s="10" t="inlineStr">
        <is>
          <t>Total assets :: Total operating segments</t>
        </is>
      </c>
      <c r="E51" s="10" t="inlineStr">
        <is>
          <t>FY2024</t>
        </is>
      </c>
      <c r="F51" s="10" t="inlineStr">
        <is>
          <t>as_reported</t>
        </is>
      </c>
      <c r="G51" s="11" t="n">
        <v>111611</v>
      </c>
      <c r="H51" s="10" t="inlineStr">
        <is>
          <t>millions</t>
        </is>
      </c>
      <c r="I51" s="10" t="inlineStr">
        <is>
          <t>currency</t>
        </is>
      </c>
      <c r="J51" s="10" t="inlineStr">
        <is>
          <t>ZAR</t>
        </is>
      </c>
      <c r="K51" s="10" t="n">
        <v>50</v>
      </c>
      <c r="L51" s="12" t="n"/>
      <c r="M51" s="10" t="inlineStr">
        <is>
          <t>segment_total_assets</t>
        </is>
      </c>
      <c r="N51" s="10" t="inlineStr"/>
    </row>
    <row r="52">
      <c r="A52" s="10" t="n">
        <v>48</v>
      </c>
      <c r="B52" s="10" t="inlineStr">
        <is>
          <t>segment_note</t>
        </is>
      </c>
      <c r="C52" s="10" t="inlineStr">
        <is>
          <t>2.1</t>
        </is>
      </c>
      <c r="D52" s="10" t="inlineStr">
        <is>
          <t>Total assets :: Hyperinflation effect</t>
        </is>
      </c>
      <c r="E52" s="10" t="inlineStr">
        <is>
          <t>FY2024</t>
        </is>
      </c>
      <c r="F52" s="10" t="inlineStr">
        <is>
          <t>as_reported</t>
        </is>
      </c>
      <c r="G52" s="11" t="n">
        <v>717</v>
      </c>
      <c r="H52" s="10" t="inlineStr">
        <is>
          <t>millions</t>
        </is>
      </c>
      <c r="I52" s="10" t="inlineStr">
        <is>
          <t>currency</t>
        </is>
      </c>
      <c r="J52" s="10" t="inlineStr">
        <is>
          <t>ZAR</t>
        </is>
      </c>
      <c r="K52" s="10" t="n">
        <v>50</v>
      </c>
      <c r="L52" s="12" t="n"/>
      <c r="M52" s="10" t="inlineStr">
        <is>
          <t>segment_total_assets</t>
        </is>
      </c>
      <c r="N52" s="10" t="inlineStr">
        <is>
          <t>Reconciling column. Named 'Hyperinflation effect and other reconciling items' in FY2025</t>
        </is>
      </c>
    </row>
    <row r="53">
      <c r="A53" s="10" t="n">
        <v>49</v>
      </c>
      <c r="B53" s="10" t="inlineStr">
        <is>
          <t>segment_note</t>
        </is>
      </c>
      <c r="C53" s="10" t="inlineStr">
        <is>
          <t>2.1</t>
        </is>
      </c>
      <c r="D53" s="10" t="inlineStr">
        <is>
          <t>Total assets :: Consolidated</t>
        </is>
      </c>
      <c r="E53" s="10" t="inlineStr">
        <is>
          <t>FY2024</t>
        </is>
      </c>
      <c r="F53" s="10" t="inlineStr">
        <is>
          <t>as_reported</t>
        </is>
      </c>
      <c r="G53" s="11" t="n">
        <v>112328</v>
      </c>
      <c r="H53" s="10" t="inlineStr">
        <is>
          <t>millions</t>
        </is>
      </c>
      <c r="I53" s="10" t="inlineStr">
        <is>
          <t>currency</t>
        </is>
      </c>
      <c r="J53" s="10" t="inlineStr">
        <is>
          <t>ZAR</t>
        </is>
      </c>
      <c r="K53" s="10" t="n">
        <v>50</v>
      </c>
      <c r="L53" s="12" t="n"/>
      <c r="M53" s="10" t="inlineStr">
        <is>
          <t>segment_total_assets</t>
        </is>
      </c>
      <c r="N53" s="10" t="inlineStr"/>
    </row>
  </sheetData>
  <autoFilter ref="A4:N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9" customWidth="1" min="3" max="3"/>
    <col width="56" customWidth="1" min="4" max="4"/>
    <col width="9" customWidth="1" min="5" max="5"/>
    <col width="13" customWidth="1" min="6" max="6"/>
    <col width="15" customWidth="1" min="7" max="7"/>
    <col width="11" customWidth="1" min="8" max="8"/>
    <col width="10" customWidth="1" min="9" max="9"/>
    <col width="9" customWidth="1" min="10" max="10"/>
    <col width="10" customWidth="1" min="11" max="11"/>
    <col width="9" customWidth="1" min="12" max="12"/>
    <col width="30" customWidth="1" min="13" max="13"/>
    <col width="52" customWidth="1" min="14" max="14"/>
  </cols>
  <sheetData>
    <row r="1">
      <c r="A1" s="6" t="inlineStr">
        <is>
          <t>THE PAIR - FY2024 as originally reported vs as restated a year later</t>
        </is>
      </c>
    </row>
    <row r="2">
      <c r="A2" s="7" t="inlineStr">
        <is>
          <t>Source: Shoprite Holdings Ltd, Annual Financial Statements 2024 (52 weeks ended 30 June 2024), file shp-afs-2024-print.pdf. pdf_page is the PDF page index, pre-filled. VERIFY each value against that page, then set verified to Y.</t>
        </is>
      </c>
    </row>
    <row r="3">
      <c r="A3" s="8" t="inlineStr">
        <is>
          <t>Two documents, one fiscal year, two correct answers. Note that 'Profit for the year' and total HEPS are IDENTICAL in both - the restatement reclassified between continuing and discontinued without changing the totals. A naive diff that only compares bottom-line profit would conclude nothing changed.</t>
        </is>
      </c>
    </row>
    <row r="4">
      <c r="A4" s="9" t="inlineStr">
        <is>
          <t>row_id</t>
        </is>
      </c>
      <c r="B4" s="9" t="inlineStr">
        <is>
          <t>statement</t>
        </is>
      </c>
      <c r="C4" s="9" t="inlineStr">
        <is>
          <t>note_ref</t>
        </is>
      </c>
      <c r="D4" s="9" t="inlineStr">
        <is>
          <t>as_reported_label</t>
        </is>
      </c>
      <c r="E4" s="9" t="inlineStr">
        <is>
          <t>period</t>
        </is>
      </c>
      <c r="F4" s="9" t="inlineStr">
        <is>
          <t>basis</t>
        </is>
      </c>
      <c r="G4" s="9" t="inlineStr">
        <is>
          <t>value_as_printed</t>
        </is>
      </c>
      <c r="H4" s="9" t="inlineStr">
        <is>
          <t>scale</t>
        </is>
      </c>
      <c r="I4" s="9" t="inlineStr">
        <is>
          <t>unit</t>
        </is>
      </c>
      <c r="J4" s="9" t="inlineStr">
        <is>
          <t>currency</t>
        </is>
      </c>
      <c r="K4" s="9" t="inlineStr">
        <is>
          <t>pdf_page</t>
        </is>
      </c>
      <c r="L4" s="9" t="inlineStr">
        <is>
          <t>verified</t>
        </is>
      </c>
      <c r="M4" s="9" t="inlineStr">
        <is>
          <t>concept_suggestion</t>
        </is>
      </c>
      <c r="N4" s="9" t="inlineStr">
        <is>
          <t>notes</t>
        </is>
      </c>
    </row>
    <row r="5">
      <c r="A5" s="10" t="n">
        <v>1</v>
      </c>
      <c r="B5" s="10" t="inlineStr">
        <is>
          <t>bitemporal_pair</t>
        </is>
      </c>
      <c r="C5" s="10" t="inlineStr"/>
      <c r="D5" s="10" t="inlineStr">
        <is>
          <t>FY2024 Revenue</t>
        </is>
      </c>
      <c r="E5" s="10" t="inlineStr">
        <is>
          <t>FY2024</t>
        </is>
      </c>
      <c r="F5" s="10" t="inlineStr">
        <is>
          <t>as_reported</t>
        </is>
      </c>
      <c r="G5" s="11" t="n">
        <v>246082</v>
      </c>
      <c r="H5" s="10" t="inlineStr">
        <is>
          <t>millions</t>
        </is>
      </c>
      <c r="I5" s="10" t="inlineStr">
        <is>
          <t>currency</t>
        </is>
      </c>
      <c r="J5" s="10" t="inlineStr">
        <is>
          <t>ZAR</t>
        </is>
      </c>
      <c r="K5" s="10" t="n">
        <v>21</v>
      </c>
      <c r="L5" s="12" t="n"/>
      <c r="M5" s="10" t="inlineStr">
        <is>
          <t>revenue</t>
        </is>
      </c>
      <c r="N5" s="10" t="inlineStr">
        <is>
          <t>Believed from Sept 2024 (FY2024 AFS) until Oct 2025</t>
        </is>
      </c>
    </row>
    <row r="6">
      <c r="A6" s="10" t="n">
        <v>2</v>
      </c>
      <c r="B6" s="10" t="inlineStr">
        <is>
          <t>bitemporal_pair</t>
        </is>
      </c>
      <c r="C6" s="10" t="inlineStr">
        <is>
          <t>45</t>
        </is>
      </c>
      <c r="D6" s="10" t="inlineStr">
        <is>
          <t>FY2024 Revenue</t>
        </is>
      </c>
      <c r="E6" s="10" t="inlineStr">
        <is>
          <t>FY2024</t>
        </is>
      </c>
      <c r="F6" s="10" t="inlineStr">
        <is>
          <t>restated</t>
        </is>
      </c>
      <c r="G6" s="11" t="n">
        <v>236328</v>
      </c>
      <c r="H6" s="10" t="inlineStr">
        <is>
          <t>millions</t>
        </is>
      </c>
      <c r="I6" s="10" t="inlineStr">
        <is>
          <t>currency</t>
        </is>
      </c>
      <c r="J6" s="10" t="inlineStr">
        <is>
          <t>ZAR</t>
        </is>
      </c>
      <c r="K6" s="10" t="n"/>
      <c r="L6" s="12" t="n"/>
      <c r="M6" s="10" t="inlineStr">
        <is>
          <t>revenue</t>
        </is>
      </c>
      <c r="N6" s="10" t="inlineStr">
        <is>
          <t>Believed from Oct 2025 (FY2025 AFS note 45) onward. pdf_page refers to the FY2025 document, not this one</t>
        </is>
      </c>
    </row>
    <row r="7">
      <c r="A7" s="10" t="n">
        <v>3</v>
      </c>
      <c r="B7" s="10" t="inlineStr">
        <is>
          <t>bitemporal_pair</t>
        </is>
      </c>
      <c r="C7" s="10" t="inlineStr"/>
      <c r="D7" s="10" t="inlineStr">
        <is>
          <t>FY2024 Sale of merchandise</t>
        </is>
      </c>
      <c r="E7" s="10" t="inlineStr">
        <is>
          <t>FY2024</t>
        </is>
      </c>
      <c r="F7" s="10" t="inlineStr">
        <is>
          <t>as_reported</t>
        </is>
      </c>
      <c r="G7" s="11" t="n">
        <v>240718</v>
      </c>
      <c r="H7" s="10" t="inlineStr">
        <is>
          <t>millions</t>
        </is>
      </c>
      <c r="I7" s="10" t="inlineStr">
        <is>
          <t>currency</t>
        </is>
      </c>
      <c r="J7" s="10" t="inlineStr">
        <is>
          <t>ZAR</t>
        </is>
      </c>
      <c r="K7" s="10" t="n">
        <v>21</v>
      </c>
      <c r="L7" s="12" t="n"/>
      <c r="M7" s="10" t="inlineStr">
        <is>
          <t>sale_of_merchandise</t>
        </is>
      </c>
      <c r="N7" s="10" t="inlineStr">
        <is>
          <t>Believed from Sept 2024 (FY2024 AFS) until Oct 2025</t>
        </is>
      </c>
    </row>
    <row r="8">
      <c r="A8" s="10" t="n">
        <v>4</v>
      </c>
      <c r="B8" s="10" t="inlineStr">
        <is>
          <t>bitemporal_pair</t>
        </is>
      </c>
      <c r="C8" s="10" t="inlineStr">
        <is>
          <t>45</t>
        </is>
      </c>
      <c r="D8" s="10" t="inlineStr">
        <is>
          <t>FY2024 Sale of merchandise</t>
        </is>
      </c>
      <c r="E8" s="10" t="inlineStr">
        <is>
          <t>FY2024</t>
        </is>
      </c>
      <c r="F8" s="10" t="inlineStr">
        <is>
          <t>restated</t>
        </is>
      </c>
      <c r="G8" s="11" t="n">
        <v>232088</v>
      </c>
      <c r="H8" s="10" t="inlineStr">
        <is>
          <t>millions</t>
        </is>
      </c>
      <c r="I8" s="10" t="inlineStr">
        <is>
          <t>currency</t>
        </is>
      </c>
      <c r="J8" s="10" t="inlineStr">
        <is>
          <t>ZAR</t>
        </is>
      </c>
      <c r="K8" s="10" t="n"/>
      <c r="L8" s="12" t="n"/>
      <c r="M8" s="10" t="inlineStr">
        <is>
          <t>sale_of_merchandise</t>
        </is>
      </c>
      <c r="N8" s="10" t="inlineStr">
        <is>
          <t>Believed from Oct 2025 (FY2025 AFS note 45) onward. pdf_page refers to the FY2025 document, not this one</t>
        </is>
      </c>
    </row>
    <row r="9">
      <c r="A9" s="10" t="n">
        <v>5</v>
      </c>
      <c r="B9" s="10" t="inlineStr">
        <is>
          <t>bitemporal_pair</t>
        </is>
      </c>
      <c r="C9" s="10" t="inlineStr"/>
      <c r="D9" s="10" t="inlineStr">
        <is>
          <t>FY2024 Cost of sales</t>
        </is>
      </c>
      <c r="E9" s="10" t="inlineStr">
        <is>
          <t>FY2024</t>
        </is>
      </c>
      <c r="F9" s="10" t="inlineStr">
        <is>
          <t>as_reported</t>
        </is>
      </c>
      <c r="G9" s="11" t="n">
        <v>-182968</v>
      </c>
      <c r="H9" s="10" t="inlineStr">
        <is>
          <t>millions</t>
        </is>
      </c>
      <c r="I9" s="10" t="inlineStr">
        <is>
          <t>currency</t>
        </is>
      </c>
      <c r="J9" s="10" t="inlineStr">
        <is>
          <t>ZAR</t>
        </is>
      </c>
      <c r="K9" s="10" t="n">
        <v>21</v>
      </c>
      <c r="L9" s="12" t="n"/>
      <c r="M9" s="10" t="inlineStr">
        <is>
          <t>cost_of_sales</t>
        </is>
      </c>
      <c r="N9" s="10" t="inlineStr">
        <is>
          <t>Believed from Sept 2024 (FY2024 AFS) until Oct 2025</t>
        </is>
      </c>
    </row>
    <row r="10">
      <c r="A10" s="10" t="n">
        <v>6</v>
      </c>
      <c r="B10" s="10" t="inlineStr">
        <is>
          <t>bitemporal_pair</t>
        </is>
      </c>
      <c r="C10" s="10" t="inlineStr">
        <is>
          <t>45</t>
        </is>
      </c>
      <c r="D10" s="10" t="inlineStr">
        <is>
          <t>FY2024 Cost of sales</t>
        </is>
      </c>
      <c r="E10" s="10" t="inlineStr">
        <is>
          <t>FY2024</t>
        </is>
      </c>
      <c r="F10" s="10" t="inlineStr">
        <is>
          <t>restated</t>
        </is>
      </c>
      <c r="G10" s="11" t="n">
        <v>-176549</v>
      </c>
      <c r="H10" s="10" t="inlineStr">
        <is>
          <t>millions</t>
        </is>
      </c>
      <c r="I10" s="10" t="inlineStr">
        <is>
          <t>currency</t>
        </is>
      </c>
      <c r="J10" s="10" t="inlineStr">
        <is>
          <t>ZAR</t>
        </is>
      </c>
      <c r="K10" s="10" t="n"/>
      <c r="L10" s="12" t="n"/>
      <c r="M10" s="10" t="inlineStr">
        <is>
          <t>cost_of_sales</t>
        </is>
      </c>
      <c r="N10" s="10" t="inlineStr">
        <is>
          <t>Believed from Oct 2025 (FY2025 AFS note 45) onward. pdf_page refers to the FY2025 document, not this one</t>
        </is>
      </c>
    </row>
    <row r="11">
      <c r="A11" s="10" t="n">
        <v>7</v>
      </c>
      <c r="B11" s="10" t="inlineStr">
        <is>
          <t>bitemporal_pair</t>
        </is>
      </c>
      <c r="C11" s="10" t="inlineStr"/>
      <c r="D11" s="10" t="inlineStr">
        <is>
          <t>FY2024 Gross profit</t>
        </is>
      </c>
      <c r="E11" s="10" t="inlineStr">
        <is>
          <t>FY2024</t>
        </is>
      </c>
      <c r="F11" s="10" t="inlineStr">
        <is>
          <t>as_reported</t>
        </is>
      </c>
      <c r="G11" s="11" t="n">
        <v>57750</v>
      </c>
      <c r="H11" s="10" t="inlineStr">
        <is>
          <t>millions</t>
        </is>
      </c>
      <c r="I11" s="10" t="inlineStr">
        <is>
          <t>currency</t>
        </is>
      </c>
      <c r="J11" s="10" t="inlineStr">
        <is>
          <t>ZAR</t>
        </is>
      </c>
      <c r="K11" s="10" t="n">
        <v>21</v>
      </c>
      <c r="L11" s="12" t="n"/>
      <c r="M11" s="10" t="inlineStr">
        <is>
          <t>gross_profit</t>
        </is>
      </c>
      <c r="N11" s="10" t="inlineStr">
        <is>
          <t>Believed from Sept 2024 (FY2024 AFS) until Oct 2025</t>
        </is>
      </c>
    </row>
    <row r="12">
      <c r="A12" s="10" t="n">
        <v>8</v>
      </c>
      <c r="B12" s="10" t="inlineStr">
        <is>
          <t>bitemporal_pair</t>
        </is>
      </c>
      <c r="C12" s="10" t="inlineStr">
        <is>
          <t>45</t>
        </is>
      </c>
      <c r="D12" s="10" t="inlineStr">
        <is>
          <t>FY2024 Gross profit</t>
        </is>
      </c>
      <c r="E12" s="10" t="inlineStr">
        <is>
          <t>FY2024</t>
        </is>
      </c>
      <c r="F12" s="10" t="inlineStr">
        <is>
          <t>restated</t>
        </is>
      </c>
      <c r="G12" s="11" t="n">
        <v>55539</v>
      </c>
      <c r="H12" s="10" t="inlineStr">
        <is>
          <t>millions</t>
        </is>
      </c>
      <c r="I12" s="10" t="inlineStr">
        <is>
          <t>currency</t>
        </is>
      </c>
      <c r="J12" s="10" t="inlineStr">
        <is>
          <t>ZAR</t>
        </is>
      </c>
      <c r="K12" s="10" t="n"/>
      <c r="L12" s="12" t="n"/>
      <c r="M12" s="10" t="inlineStr">
        <is>
          <t>gross_profit</t>
        </is>
      </c>
      <c r="N12" s="10" t="inlineStr">
        <is>
          <t>Believed from Oct 2025 (FY2025 AFS note 45) onward. pdf_page refers to the FY2025 document, not this one</t>
        </is>
      </c>
    </row>
    <row r="13">
      <c r="A13" s="10" t="n">
        <v>9</v>
      </c>
      <c r="B13" s="10" t="inlineStr">
        <is>
          <t>bitemporal_pair</t>
        </is>
      </c>
      <c r="C13" s="10" t="inlineStr"/>
      <c r="D13" s="10" t="inlineStr">
        <is>
          <t>FY2024 Other operating income / Alternative revenue</t>
        </is>
      </c>
      <c r="E13" s="10" t="inlineStr">
        <is>
          <t>FY2024</t>
        </is>
      </c>
      <c r="F13" s="10" t="inlineStr">
        <is>
          <t>as_reported</t>
        </is>
      </c>
      <c r="G13" s="11" t="n">
        <v>4307</v>
      </c>
      <c r="H13" s="10" t="inlineStr">
        <is>
          <t>millions</t>
        </is>
      </c>
      <c r="I13" s="10" t="inlineStr">
        <is>
          <t>currency</t>
        </is>
      </c>
      <c r="J13" s="10" t="inlineStr">
        <is>
          <t>ZAR</t>
        </is>
      </c>
      <c r="K13" s="10" t="n">
        <v>21</v>
      </c>
      <c r="L13" s="12" t="n"/>
      <c r="M13" s="10" t="inlineStr">
        <is>
          <t>other_operating_income_/_alternative_revenue</t>
        </is>
      </c>
      <c r="N13" s="10" t="inlineStr">
        <is>
          <t>Believed from Sept 2024 (FY2024 AFS) until Oct 2025</t>
        </is>
      </c>
    </row>
    <row r="14">
      <c r="A14" s="10" t="n">
        <v>10</v>
      </c>
      <c r="B14" s="10" t="inlineStr">
        <is>
          <t>bitemporal_pair</t>
        </is>
      </c>
      <c r="C14" s="10" t="inlineStr">
        <is>
          <t>45</t>
        </is>
      </c>
      <c r="D14" s="10" t="inlineStr">
        <is>
          <t>FY2024 Other operating income / Alternative revenue</t>
        </is>
      </c>
      <c r="E14" s="10" t="inlineStr">
        <is>
          <t>FY2024</t>
        </is>
      </c>
      <c r="F14" s="10" t="inlineStr">
        <is>
          <t>restated</t>
        </is>
      </c>
      <c r="G14" s="11" t="n">
        <v>3927</v>
      </c>
      <c r="H14" s="10" t="inlineStr">
        <is>
          <t>millions</t>
        </is>
      </c>
      <c r="I14" s="10" t="inlineStr">
        <is>
          <t>currency</t>
        </is>
      </c>
      <c r="J14" s="10" t="inlineStr">
        <is>
          <t>ZAR</t>
        </is>
      </c>
      <c r="K14" s="10" t="n"/>
      <c r="L14" s="12" t="n"/>
      <c r="M14" s="10" t="inlineStr">
        <is>
          <t>other_operating_income_/_alternative_revenue</t>
        </is>
      </c>
      <c r="N14" s="10" t="inlineStr">
        <is>
          <t>Believed from Oct 2025 (FY2025 AFS note 45) onward. pdf_page refers to the FY2025 document, not this one</t>
        </is>
      </c>
    </row>
    <row r="15">
      <c r="A15" s="10" t="n">
        <v>11</v>
      </c>
      <c r="B15" s="10" t="inlineStr">
        <is>
          <t>bitemporal_pair</t>
        </is>
      </c>
      <c r="C15" s="10" t="inlineStr"/>
      <c r="D15" s="10" t="inlineStr">
        <is>
          <t>FY2024 Interest revenue</t>
        </is>
      </c>
      <c r="E15" s="10" t="inlineStr">
        <is>
          <t>FY2024</t>
        </is>
      </c>
      <c r="F15" s="10" t="inlineStr">
        <is>
          <t>as_reported</t>
        </is>
      </c>
      <c r="G15" s="11" t="n">
        <v>759</v>
      </c>
      <c r="H15" s="10" t="inlineStr">
        <is>
          <t>millions</t>
        </is>
      </c>
      <c r="I15" s="10" t="inlineStr">
        <is>
          <t>currency</t>
        </is>
      </c>
      <c r="J15" s="10" t="inlineStr">
        <is>
          <t>ZAR</t>
        </is>
      </c>
      <c r="K15" s="10" t="n">
        <v>21</v>
      </c>
      <c r="L15" s="12" t="n"/>
      <c r="M15" s="10" t="inlineStr">
        <is>
          <t>interest_revenue</t>
        </is>
      </c>
      <c r="N15" s="10" t="inlineStr">
        <is>
          <t>Believed from Sept 2024 (FY2024 AFS) until Oct 2025</t>
        </is>
      </c>
    </row>
    <row r="16">
      <c r="A16" s="10" t="n">
        <v>12</v>
      </c>
      <c r="B16" s="10" t="inlineStr">
        <is>
          <t>bitemporal_pair</t>
        </is>
      </c>
      <c r="C16" s="10" t="inlineStr">
        <is>
          <t>45</t>
        </is>
      </c>
      <c r="D16" s="10" t="inlineStr">
        <is>
          <t>FY2024 Interest revenue</t>
        </is>
      </c>
      <c r="E16" s="10" t="inlineStr">
        <is>
          <t>FY2024</t>
        </is>
      </c>
      <c r="F16" s="10" t="inlineStr">
        <is>
          <t>restated</t>
        </is>
      </c>
      <c r="G16" s="11" t="n">
        <v>313</v>
      </c>
      <c r="H16" s="10" t="inlineStr">
        <is>
          <t>millions</t>
        </is>
      </c>
      <c r="I16" s="10" t="inlineStr">
        <is>
          <t>currency</t>
        </is>
      </c>
      <c r="J16" s="10" t="inlineStr">
        <is>
          <t>ZAR</t>
        </is>
      </c>
      <c r="K16" s="10" t="n"/>
      <c r="L16" s="12" t="n"/>
      <c r="M16" s="10" t="inlineStr">
        <is>
          <t>interest_revenue</t>
        </is>
      </c>
      <c r="N16" s="10" t="inlineStr">
        <is>
          <t>Believed from Oct 2025 (FY2025 AFS note 45) onward. pdf_page refers to the FY2025 document, not this one</t>
        </is>
      </c>
    </row>
    <row r="17">
      <c r="A17" s="10" t="n">
        <v>13</v>
      </c>
      <c r="B17" s="10" t="inlineStr">
        <is>
          <t>bitemporal_pair</t>
        </is>
      </c>
      <c r="C17" s="10" t="inlineStr"/>
      <c r="D17" s="10" t="inlineStr">
        <is>
          <t>FY2024 Depreciation and amortisation</t>
        </is>
      </c>
      <c r="E17" s="10" t="inlineStr">
        <is>
          <t>FY2024</t>
        </is>
      </c>
      <c r="F17" s="10" t="inlineStr">
        <is>
          <t>as_reported</t>
        </is>
      </c>
      <c r="G17" s="11" t="n">
        <v>-7264</v>
      </c>
      <c r="H17" s="10" t="inlineStr">
        <is>
          <t>millions</t>
        </is>
      </c>
      <c r="I17" s="10" t="inlineStr">
        <is>
          <t>currency</t>
        </is>
      </c>
      <c r="J17" s="10" t="inlineStr">
        <is>
          <t>ZAR</t>
        </is>
      </c>
      <c r="K17" s="10" t="n">
        <v>21</v>
      </c>
      <c r="L17" s="12" t="n"/>
      <c r="M17" s="10" t="inlineStr">
        <is>
          <t>depreciation_and_amortisation</t>
        </is>
      </c>
      <c r="N17" s="10" t="inlineStr">
        <is>
          <t>Believed from Sept 2024 (FY2024 AFS) until Oct 2025</t>
        </is>
      </c>
    </row>
    <row r="18">
      <c r="A18" s="10" t="n">
        <v>14</v>
      </c>
      <c r="B18" s="10" t="inlineStr">
        <is>
          <t>bitemporal_pair</t>
        </is>
      </c>
      <c r="C18" s="10" t="inlineStr">
        <is>
          <t>45</t>
        </is>
      </c>
      <c r="D18" s="10" t="inlineStr">
        <is>
          <t>FY2024 Depreciation and amortisation</t>
        </is>
      </c>
      <c r="E18" s="10" t="inlineStr">
        <is>
          <t>FY2024</t>
        </is>
      </c>
      <c r="F18" s="10" t="inlineStr">
        <is>
          <t>restated</t>
        </is>
      </c>
      <c r="G18" s="11" t="n">
        <v>-6845</v>
      </c>
      <c r="H18" s="10" t="inlineStr">
        <is>
          <t>millions</t>
        </is>
      </c>
      <c r="I18" s="10" t="inlineStr">
        <is>
          <t>currency</t>
        </is>
      </c>
      <c r="J18" s="10" t="inlineStr">
        <is>
          <t>ZAR</t>
        </is>
      </c>
      <c r="K18" s="10" t="n"/>
      <c r="L18" s="12" t="n"/>
      <c r="M18" s="10" t="inlineStr">
        <is>
          <t>depreciation_and_amortisation</t>
        </is>
      </c>
      <c r="N18" s="10" t="inlineStr">
        <is>
          <t>Believed from Oct 2025 (FY2025 AFS note 45) onward. pdf_page refers to the FY2025 document, not this one</t>
        </is>
      </c>
    </row>
    <row r="19">
      <c r="A19" s="10" t="n">
        <v>15</v>
      </c>
      <c r="B19" s="10" t="inlineStr">
        <is>
          <t>bitemporal_pair</t>
        </is>
      </c>
      <c r="C19" s="10" t="inlineStr"/>
      <c r="D19" s="10" t="inlineStr">
        <is>
          <t>FY2024 Employee benefits</t>
        </is>
      </c>
      <c r="E19" s="10" t="inlineStr">
        <is>
          <t>FY2024</t>
        </is>
      </c>
      <c r="F19" s="10" t="inlineStr">
        <is>
          <t>as_reported</t>
        </is>
      </c>
      <c r="G19" s="11" t="n">
        <v>-19242</v>
      </c>
      <c r="H19" s="10" t="inlineStr">
        <is>
          <t>millions</t>
        </is>
      </c>
      <c r="I19" s="10" t="inlineStr">
        <is>
          <t>currency</t>
        </is>
      </c>
      <c r="J19" s="10" t="inlineStr">
        <is>
          <t>ZAR</t>
        </is>
      </c>
      <c r="K19" s="10" t="n">
        <v>21</v>
      </c>
      <c r="L19" s="12" t="n"/>
      <c r="M19" s="10" t="inlineStr">
        <is>
          <t>employee_benefits</t>
        </is>
      </c>
      <c r="N19" s="10" t="inlineStr">
        <is>
          <t>Believed from Sept 2024 (FY2024 AFS) until Oct 2025</t>
        </is>
      </c>
    </row>
    <row r="20">
      <c r="A20" s="10" t="n">
        <v>16</v>
      </c>
      <c r="B20" s="10" t="inlineStr">
        <is>
          <t>bitemporal_pair</t>
        </is>
      </c>
      <c r="C20" s="10" t="inlineStr">
        <is>
          <t>45</t>
        </is>
      </c>
      <c r="D20" s="10" t="inlineStr">
        <is>
          <t>FY2024 Employee benefits</t>
        </is>
      </c>
      <c r="E20" s="10" t="inlineStr">
        <is>
          <t>FY2024</t>
        </is>
      </c>
      <c r="F20" s="10" t="inlineStr">
        <is>
          <t>restated</t>
        </is>
      </c>
      <c r="G20" s="11" t="n">
        <v>-18289</v>
      </c>
      <c r="H20" s="10" t="inlineStr">
        <is>
          <t>millions</t>
        </is>
      </c>
      <c r="I20" s="10" t="inlineStr">
        <is>
          <t>currency</t>
        </is>
      </c>
      <c r="J20" s="10" t="inlineStr">
        <is>
          <t>ZAR</t>
        </is>
      </c>
      <c r="K20" s="10" t="n"/>
      <c r="L20" s="12" t="n"/>
      <c r="M20" s="10" t="inlineStr">
        <is>
          <t>employee_benefits</t>
        </is>
      </c>
      <c r="N20" s="10" t="inlineStr">
        <is>
          <t>Believed from Oct 2025 (FY2025 AFS note 45) onward. pdf_page refers to the FY2025 document, not this one</t>
        </is>
      </c>
    </row>
    <row r="21">
      <c r="A21" s="10" t="n">
        <v>17</v>
      </c>
      <c r="B21" s="10" t="inlineStr">
        <is>
          <t>bitemporal_pair</t>
        </is>
      </c>
      <c r="C21" s="10" t="inlineStr"/>
      <c r="D21" s="10" t="inlineStr">
        <is>
          <t>FY2024 Credit impairment losses</t>
        </is>
      </c>
      <c r="E21" s="10" t="inlineStr">
        <is>
          <t>FY2024</t>
        </is>
      </c>
      <c r="F21" s="10" t="inlineStr">
        <is>
          <t>as_reported</t>
        </is>
      </c>
      <c r="G21" s="11" t="n">
        <v>-381</v>
      </c>
      <c r="H21" s="10" t="inlineStr">
        <is>
          <t>millions</t>
        </is>
      </c>
      <c r="I21" s="10" t="inlineStr">
        <is>
          <t>currency</t>
        </is>
      </c>
      <c r="J21" s="10" t="inlineStr">
        <is>
          <t>ZAR</t>
        </is>
      </c>
      <c r="K21" s="10" t="n">
        <v>21</v>
      </c>
      <c r="L21" s="12" t="n"/>
      <c r="M21" s="10" t="inlineStr">
        <is>
          <t>credit_impairment_losses</t>
        </is>
      </c>
      <c r="N21" s="10" t="inlineStr">
        <is>
          <t>Believed from Sept 2024 (FY2024 AFS) until Oct 2025</t>
        </is>
      </c>
    </row>
    <row r="22">
      <c r="A22" s="10" t="n">
        <v>18</v>
      </c>
      <c r="B22" s="10" t="inlineStr">
        <is>
          <t>bitemporal_pair</t>
        </is>
      </c>
      <c r="C22" s="10" t="inlineStr">
        <is>
          <t>45</t>
        </is>
      </c>
      <c r="D22" s="10" t="inlineStr">
        <is>
          <t>FY2024 Credit impairment losses</t>
        </is>
      </c>
      <c r="E22" s="10" t="inlineStr">
        <is>
          <t>FY2024</t>
        </is>
      </c>
      <c r="F22" s="10" t="inlineStr">
        <is>
          <t>restated</t>
        </is>
      </c>
      <c r="G22" s="11" t="n">
        <v>-179</v>
      </c>
      <c r="H22" s="10" t="inlineStr">
        <is>
          <t>millions</t>
        </is>
      </c>
      <c r="I22" s="10" t="inlineStr">
        <is>
          <t>currency</t>
        </is>
      </c>
      <c r="J22" s="10" t="inlineStr">
        <is>
          <t>ZAR</t>
        </is>
      </c>
      <c r="K22" s="10" t="n"/>
      <c r="L22" s="12" t="n"/>
      <c r="M22" s="10" t="inlineStr">
        <is>
          <t>credit_impairment_losses</t>
        </is>
      </c>
      <c r="N22" s="10" t="inlineStr">
        <is>
          <t>Believed from Oct 2025 (FY2025 AFS note 45) onward. pdf_page refers to the FY2025 document, not this one</t>
        </is>
      </c>
    </row>
    <row r="23">
      <c r="A23" s="10" t="n">
        <v>19</v>
      </c>
      <c r="B23" s="10" t="inlineStr">
        <is>
          <t>bitemporal_pair</t>
        </is>
      </c>
      <c r="C23" s="10" t="inlineStr"/>
      <c r="D23" s="10" t="inlineStr">
        <is>
          <t>FY2024 Other operating expenses</t>
        </is>
      </c>
      <c r="E23" s="10" t="inlineStr">
        <is>
          <t>FY2024</t>
        </is>
      </c>
      <c r="F23" s="10" t="inlineStr">
        <is>
          <t>as_reported</t>
        </is>
      </c>
      <c r="G23" s="11" t="n">
        <v>-23053</v>
      </c>
      <c r="H23" s="10" t="inlineStr">
        <is>
          <t>millions</t>
        </is>
      </c>
      <c r="I23" s="10" t="inlineStr">
        <is>
          <t>currency</t>
        </is>
      </c>
      <c r="J23" s="10" t="inlineStr">
        <is>
          <t>ZAR</t>
        </is>
      </c>
      <c r="K23" s="10" t="n">
        <v>21</v>
      </c>
      <c r="L23" s="12" t="n"/>
      <c r="M23" s="10" t="inlineStr">
        <is>
          <t>other_operating_expenses</t>
        </is>
      </c>
      <c r="N23" s="10" t="inlineStr">
        <is>
          <t>Believed from Sept 2024 (FY2024 AFS) until Oct 2025</t>
        </is>
      </c>
    </row>
    <row r="24">
      <c r="A24" s="10" t="n">
        <v>20</v>
      </c>
      <c r="B24" s="10" t="inlineStr">
        <is>
          <t>bitemporal_pair</t>
        </is>
      </c>
      <c r="C24" s="10" t="inlineStr">
        <is>
          <t>45</t>
        </is>
      </c>
      <c r="D24" s="10" t="inlineStr">
        <is>
          <t>FY2024 Other operating expenses</t>
        </is>
      </c>
      <c r="E24" s="10" t="inlineStr">
        <is>
          <t>FY2024</t>
        </is>
      </c>
      <c r="F24" s="10" t="inlineStr">
        <is>
          <t>restated</t>
        </is>
      </c>
      <c r="G24" s="11" t="n">
        <v>-21916</v>
      </c>
      <c r="H24" s="10" t="inlineStr">
        <is>
          <t>millions</t>
        </is>
      </c>
      <c r="I24" s="10" t="inlineStr">
        <is>
          <t>currency</t>
        </is>
      </c>
      <c r="J24" s="10" t="inlineStr">
        <is>
          <t>ZAR</t>
        </is>
      </c>
      <c r="K24" s="10" t="n"/>
      <c r="L24" s="12" t="n"/>
      <c r="M24" s="10" t="inlineStr">
        <is>
          <t>other_operating_expenses</t>
        </is>
      </c>
      <c r="N24" s="10" t="inlineStr">
        <is>
          <t>Believed from Oct 2025 (FY2025 AFS note 45) onward. pdf_page refers to the FY2025 document, not this one</t>
        </is>
      </c>
    </row>
    <row r="25">
      <c r="A25" s="10" t="n">
        <v>21</v>
      </c>
      <c r="B25" s="10" t="inlineStr">
        <is>
          <t>bitemporal_pair</t>
        </is>
      </c>
      <c r="C25" s="10" t="inlineStr"/>
      <c r="D25" s="10" t="inlineStr">
        <is>
          <t>FY2024 Trading profit</t>
        </is>
      </c>
      <c r="E25" s="10" t="inlineStr">
        <is>
          <t>FY2024</t>
        </is>
      </c>
      <c r="F25" s="10" t="inlineStr">
        <is>
          <t>as_reported</t>
        </is>
      </c>
      <c r="G25" s="11" t="n">
        <v>13399</v>
      </c>
      <c r="H25" s="10" t="inlineStr">
        <is>
          <t>millions</t>
        </is>
      </c>
      <c r="I25" s="10" t="inlineStr">
        <is>
          <t>currency</t>
        </is>
      </c>
      <c r="J25" s="10" t="inlineStr">
        <is>
          <t>ZAR</t>
        </is>
      </c>
      <c r="K25" s="10" t="n">
        <v>21</v>
      </c>
      <c r="L25" s="12" t="n"/>
      <c r="M25" s="10" t="inlineStr">
        <is>
          <t>trading_profit</t>
        </is>
      </c>
      <c r="N25" s="10" t="inlineStr">
        <is>
          <t>Believed from Sept 2024 (FY2024 AFS) until Oct 2025</t>
        </is>
      </c>
    </row>
    <row r="26">
      <c r="A26" s="10" t="n">
        <v>22</v>
      </c>
      <c r="B26" s="10" t="inlineStr">
        <is>
          <t>bitemporal_pair</t>
        </is>
      </c>
      <c r="C26" s="10" t="inlineStr">
        <is>
          <t>45</t>
        </is>
      </c>
      <c r="D26" s="10" t="inlineStr">
        <is>
          <t>FY2024 Trading profit</t>
        </is>
      </c>
      <c r="E26" s="10" t="inlineStr">
        <is>
          <t>FY2024</t>
        </is>
      </c>
      <c r="F26" s="10" t="inlineStr">
        <is>
          <t>restated</t>
        </is>
      </c>
      <c r="G26" s="11" t="n">
        <v>12818</v>
      </c>
      <c r="H26" s="10" t="inlineStr">
        <is>
          <t>millions</t>
        </is>
      </c>
      <c r="I26" s="10" t="inlineStr">
        <is>
          <t>currency</t>
        </is>
      </c>
      <c r="J26" s="10" t="inlineStr">
        <is>
          <t>ZAR</t>
        </is>
      </c>
      <c r="K26" s="10" t="n"/>
      <c r="L26" s="12" t="n"/>
      <c r="M26" s="10" t="inlineStr">
        <is>
          <t>trading_profit</t>
        </is>
      </c>
      <c r="N26" s="10" t="inlineStr">
        <is>
          <t>Believed from Oct 2025 (FY2025 AFS note 45) onward. pdf_page refers to the FY2025 document, not this one</t>
        </is>
      </c>
    </row>
    <row r="27">
      <c r="A27" s="10" t="n">
        <v>23</v>
      </c>
      <c r="B27" s="10" t="inlineStr">
        <is>
          <t>bitemporal_pair</t>
        </is>
      </c>
      <c r="C27" s="10" t="inlineStr"/>
      <c r="D27" s="10" t="inlineStr">
        <is>
          <t>FY2024 Operating profit</t>
        </is>
      </c>
      <c r="E27" s="10" t="inlineStr">
        <is>
          <t>FY2024</t>
        </is>
      </c>
      <c r="F27" s="10" t="inlineStr">
        <is>
          <t>as_reported</t>
        </is>
      </c>
      <c r="G27" s="11" t="n">
        <v>13156</v>
      </c>
      <c r="H27" s="10" t="inlineStr">
        <is>
          <t>millions</t>
        </is>
      </c>
      <c r="I27" s="10" t="inlineStr">
        <is>
          <t>currency</t>
        </is>
      </c>
      <c r="J27" s="10" t="inlineStr">
        <is>
          <t>ZAR</t>
        </is>
      </c>
      <c r="K27" s="10" t="n">
        <v>21</v>
      </c>
      <c r="L27" s="12" t="n"/>
      <c r="M27" s="10" t="inlineStr">
        <is>
          <t>operating_profit</t>
        </is>
      </c>
      <c r="N27" s="10" t="inlineStr">
        <is>
          <t>Believed from Sept 2024 (FY2024 AFS) until Oct 2025</t>
        </is>
      </c>
    </row>
    <row r="28">
      <c r="A28" s="10" t="n">
        <v>24</v>
      </c>
      <c r="B28" s="10" t="inlineStr">
        <is>
          <t>bitemporal_pair</t>
        </is>
      </c>
      <c r="C28" s="10" t="inlineStr">
        <is>
          <t>45</t>
        </is>
      </c>
      <c r="D28" s="10" t="inlineStr">
        <is>
          <t>FY2024 Operating profit</t>
        </is>
      </c>
      <c r="E28" s="10" t="inlineStr">
        <is>
          <t>FY2024</t>
        </is>
      </c>
      <c r="F28" s="10" t="inlineStr">
        <is>
          <t>restated</t>
        </is>
      </c>
      <c r="G28" s="11" t="n">
        <v>12662</v>
      </c>
      <c r="H28" s="10" t="inlineStr">
        <is>
          <t>millions</t>
        </is>
      </c>
      <c r="I28" s="10" t="inlineStr">
        <is>
          <t>currency</t>
        </is>
      </c>
      <c r="J28" s="10" t="inlineStr">
        <is>
          <t>ZAR</t>
        </is>
      </c>
      <c r="K28" s="10" t="n"/>
      <c r="L28" s="12" t="n"/>
      <c r="M28" s="10" t="inlineStr">
        <is>
          <t>operating_profit</t>
        </is>
      </c>
      <c r="N28" s="10" t="inlineStr">
        <is>
          <t>Believed from Oct 2025 (FY2025 AFS note 45) onward. pdf_page refers to the FY2025 document, not this one</t>
        </is>
      </c>
    </row>
    <row r="29">
      <c r="A29" s="10" t="n">
        <v>25</v>
      </c>
      <c r="B29" s="10" t="inlineStr">
        <is>
          <t>bitemporal_pair</t>
        </is>
      </c>
      <c r="C29" s="10" t="inlineStr"/>
      <c r="D29" s="10" t="inlineStr">
        <is>
          <t>FY2024 Profit before income tax</t>
        </is>
      </c>
      <c r="E29" s="10" t="inlineStr">
        <is>
          <t>FY2024</t>
        </is>
      </c>
      <c r="F29" s="10" t="inlineStr">
        <is>
          <t>as_reported</t>
        </is>
      </c>
      <c r="G29" s="11" t="n">
        <v>9379</v>
      </c>
      <c r="H29" s="10" t="inlineStr">
        <is>
          <t>millions</t>
        </is>
      </c>
      <c r="I29" s="10" t="inlineStr">
        <is>
          <t>currency</t>
        </is>
      </c>
      <c r="J29" s="10" t="inlineStr">
        <is>
          <t>ZAR</t>
        </is>
      </c>
      <c r="K29" s="10" t="n">
        <v>21</v>
      </c>
      <c r="L29" s="12" t="n"/>
      <c r="M29" s="10" t="inlineStr">
        <is>
          <t>profit_before_income_tax</t>
        </is>
      </c>
      <c r="N29" s="10" t="inlineStr">
        <is>
          <t>Believed from Sept 2024 (FY2024 AFS) until Oct 2025</t>
        </is>
      </c>
    </row>
    <row r="30">
      <c r="A30" s="10" t="n">
        <v>26</v>
      </c>
      <c r="B30" s="10" t="inlineStr">
        <is>
          <t>bitemporal_pair</t>
        </is>
      </c>
      <c r="C30" s="10" t="inlineStr">
        <is>
          <t>45</t>
        </is>
      </c>
      <c r="D30" s="10" t="inlineStr">
        <is>
          <t>FY2024 Profit before income tax</t>
        </is>
      </c>
      <c r="E30" s="10" t="inlineStr">
        <is>
          <t>FY2024</t>
        </is>
      </c>
      <c r="F30" s="10" t="inlineStr">
        <is>
          <t>restated</t>
        </is>
      </c>
      <c r="G30" s="11" t="n">
        <v>9026</v>
      </c>
      <c r="H30" s="10" t="inlineStr">
        <is>
          <t>millions</t>
        </is>
      </c>
      <c r="I30" s="10" t="inlineStr">
        <is>
          <t>currency</t>
        </is>
      </c>
      <c r="J30" s="10" t="inlineStr">
        <is>
          <t>ZAR</t>
        </is>
      </c>
      <c r="K30" s="10" t="n"/>
      <c r="L30" s="12" t="n"/>
      <c r="M30" s="10" t="inlineStr">
        <is>
          <t>profit_before_income_tax</t>
        </is>
      </c>
      <c r="N30" s="10" t="inlineStr">
        <is>
          <t>Believed from Oct 2025 (FY2025 AFS note 45) onward. pdf_page refers to the FY2025 document, not this one</t>
        </is>
      </c>
    </row>
    <row r="31">
      <c r="A31" s="10" t="n">
        <v>27</v>
      </c>
      <c r="B31" s="10" t="inlineStr">
        <is>
          <t>bitemporal_pair</t>
        </is>
      </c>
      <c r="C31" s="10" t="inlineStr"/>
      <c r="D31" s="10" t="inlineStr">
        <is>
          <t>FY2024 Income tax expense</t>
        </is>
      </c>
      <c r="E31" s="10" t="inlineStr">
        <is>
          <t>FY2024</t>
        </is>
      </c>
      <c r="F31" s="10" t="inlineStr">
        <is>
          <t>as_reported</t>
        </is>
      </c>
      <c r="G31" s="11" t="n">
        <v>-2836</v>
      </c>
      <c r="H31" s="10" t="inlineStr">
        <is>
          <t>millions</t>
        </is>
      </c>
      <c r="I31" s="10" t="inlineStr">
        <is>
          <t>currency</t>
        </is>
      </c>
      <c r="J31" s="10" t="inlineStr">
        <is>
          <t>ZAR</t>
        </is>
      </c>
      <c r="K31" s="10" t="n">
        <v>21</v>
      </c>
      <c r="L31" s="12" t="n"/>
      <c r="M31" s="10" t="inlineStr">
        <is>
          <t>income_tax_expense</t>
        </is>
      </c>
      <c r="N31" s="10" t="inlineStr">
        <is>
          <t>Believed from Sept 2024 (FY2024 AFS) until Oct 2025</t>
        </is>
      </c>
    </row>
    <row r="32">
      <c r="A32" s="10" t="n">
        <v>28</v>
      </c>
      <c r="B32" s="10" t="inlineStr">
        <is>
          <t>bitemporal_pair</t>
        </is>
      </c>
      <c r="C32" s="10" t="inlineStr">
        <is>
          <t>45</t>
        </is>
      </c>
      <c r="D32" s="10" t="inlineStr">
        <is>
          <t>FY2024 Income tax expense</t>
        </is>
      </c>
      <c r="E32" s="10" t="inlineStr">
        <is>
          <t>FY2024</t>
        </is>
      </c>
      <c r="F32" s="10" t="inlineStr">
        <is>
          <t>restated</t>
        </is>
      </c>
      <c r="G32" s="11" t="n">
        <v>-2805</v>
      </c>
      <c r="H32" s="10" t="inlineStr">
        <is>
          <t>millions</t>
        </is>
      </c>
      <c r="I32" s="10" t="inlineStr">
        <is>
          <t>currency</t>
        </is>
      </c>
      <c r="J32" s="10" t="inlineStr">
        <is>
          <t>ZAR</t>
        </is>
      </c>
      <c r="K32" s="10" t="n"/>
      <c r="L32" s="12" t="n"/>
      <c r="M32" s="10" t="inlineStr">
        <is>
          <t>income_tax_expense</t>
        </is>
      </c>
      <c r="N32" s="10" t="inlineStr">
        <is>
          <t>Believed from Oct 2025 (FY2025 AFS note 45) onward. pdf_page refers to the FY2025 document, not this one</t>
        </is>
      </c>
    </row>
    <row r="33">
      <c r="A33" s="10" t="n">
        <v>29</v>
      </c>
      <c r="B33" s="10" t="inlineStr">
        <is>
          <t>bitemporal_pair</t>
        </is>
      </c>
      <c r="C33" s="10" t="inlineStr"/>
      <c r="D33" s="10" t="inlineStr">
        <is>
          <t>FY2024 Profit from continuing operations</t>
        </is>
      </c>
      <c r="E33" s="10" t="inlineStr">
        <is>
          <t>FY2024</t>
        </is>
      </c>
      <c r="F33" s="10" t="inlineStr">
        <is>
          <t>as_reported</t>
        </is>
      </c>
      <c r="G33" s="11" t="n">
        <v>6543</v>
      </c>
      <c r="H33" s="10" t="inlineStr">
        <is>
          <t>millions</t>
        </is>
      </c>
      <c r="I33" s="10" t="inlineStr">
        <is>
          <t>currency</t>
        </is>
      </c>
      <c r="J33" s="10" t="inlineStr">
        <is>
          <t>ZAR</t>
        </is>
      </c>
      <c r="K33" s="10" t="n">
        <v>21</v>
      </c>
      <c r="L33" s="12" t="n"/>
      <c r="M33" s="10" t="inlineStr">
        <is>
          <t>profit_from_continuing_operations</t>
        </is>
      </c>
      <c r="N33" s="10" t="inlineStr">
        <is>
          <t>Believed from Sept 2024 (FY2024 AFS) until Oct 2025</t>
        </is>
      </c>
    </row>
    <row r="34">
      <c r="A34" s="10" t="n">
        <v>30</v>
      </c>
      <c r="B34" s="10" t="inlineStr">
        <is>
          <t>bitemporal_pair</t>
        </is>
      </c>
      <c r="C34" s="10" t="inlineStr">
        <is>
          <t>45</t>
        </is>
      </c>
      <c r="D34" s="10" t="inlineStr">
        <is>
          <t>FY2024 Profit from continuing operations</t>
        </is>
      </c>
      <c r="E34" s="10" t="inlineStr">
        <is>
          <t>FY2024</t>
        </is>
      </c>
      <c r="F34" s="10" t="inlineStr">
        <is>
          <t>restated</t>
        </is>
      </c>
      <c r="G34" s="11" t="n">
        <v>6221</v>
      </c>
      <c r="H34" s="10" t="inlineStr">
        <is>
          <t>millions</t>
        </is>
      </c>
      <c r="I34" s="10" t="inlineStr">
        <is>
          <t>currency</t>
        </is>
      </c>
      <c r="J34" s="10" t="inlineStr">
        <is>
          <t>ZAR</t>
        </is>
      </c>
      <c r="K34" s="10" t="n"/>
      <c r="L34" s="12" t="n"/>
      <c r="M34" s="10" t="inlineStr">
        <is>
          <t>profit_from_continuing_operations</t>
        </is>
      </c>
      <c r="N34" s="10" t="inlineStr">
        <is>
          <t>Believed from Oct 2025 (FY2025 AFS note 45) onward. pdf_page refers to the FY2025 document, not this one</t>
        </is>
      </c>
    </row>
    <row r="35">
      <c r="A35" s="10" t="n">
        <v>31</v>
      </c>
      <c r="B35" s="10" t="inlineStr">
        <is>
          <t>bitemporal_pair</t>
        </is>
      </c>
      <c r="C35" s="10" t="inlineStr"/>
      <c r="D35" s="10" t="inlineStr">
        <is>
          <t>FY2024 Profit for the year</t>
        </is>
      </c>
      <c r="E35" s="10" t="inlineStr">
        <is>
          <t>FY2024</t>
        </is>
      </c>
      <c r="F35" s="10" t="inlineStr">
        <is>
          <t>as_reported</t>
        </is>
      </c>
      <c r="G35" s="11" t="n">
        <v>6221</v>
      </c>
      <c r="H35" s="10" t="inlineStr">
        <is>
          <t>millions</t>
        </is>
      </c>
      <c r="I35" s="10" t="inlineStr">
        <is>
          <t>currency</t>
        </is>
      </c>
      <c r="J35" s="10" t="inlineStr">
        <is>
          <t>ZAR</t>
        </is>
      </c>
      <c r="K35" s="10" t="n">
        <v>21</v>
      </c>
      <c r="L35" s="12" t="n"/>
      <c r="M35" s="10" t="inlineStr">
        <is>
          <t>profit_for_the_year</t>
        </is>
      </c>
      <c r="N35" s="10" t="inlineStr">
        <is>
          <t>Believed from Sept 2024 (FY2024 AFS) until Oct 2025</t>
        </is>
      </c>
    </row>
    <row r="36">
      <c r="A36" s="10" t="n">
        <v>32</v>
      </c>
      <c r="B36" s="10" t="inlineStr">
        <is>
          <t>bitemporal_pair</t>
        </is>
      </c>
      <c r="C36" s="10" t="inlineStr">
        <is>
          <t>45</t>
        </is>
      </c>
      <c r="D36" s="10" t="inlineStr">
        <is>
          <t>FY2024 Profit for the year</t>
        </is>
      </c>
      <c r="E36" s="10" t="inlineStr">
        <is>
          <t>FY2024</t>
        </is>
      </c>
      <c r="F36" s="10" t="inlineStr">
        <is>
          <t>restated</t>
        </is>
      </c>
      <c r="G36" s="11" t="n">
        <v>6221</v>
      </c>
      <c r="H36" s="10" t="inlineStr">
        <is>
          <t>millions</t>
        </is>
      </c>
      <c r="I36" s="10" t="inlineStr">
        <is>
          <t>currency</t>
        </is>
      </c>
      <c r="J36" s="10" t="inlineStr">
        <is>
          <t>ZAR</t>
        </is>
      </c>
      <c r="K36" s="10" t="n"/>
      <c r="L36" s="12" t="n"/>
      <c r="M36" s="10" t="inlineStr">
        <is>
          <t>profit_for_the_year</t>
        </is>
      </c>
      <c r="N36" s="10" t="inlineStr">
        <is>
          <t>Believed from Oct 2025 (FY2025 AFS note 45) onward. pdf_page refers to the FY2025 document, not this one</t>
        </is>
      </c>
    </row>
    <row r="37">
      <c r="A37" s="10" t="n">
        <v>33</v>
      </c>
      <c r="B37" s="10" t="inlineStr">
        <is>
          <t>bitemporal_pair</t>
        </is>
      </c>
      <c r="C37" s="10" t="inlineStr"/>
      <c r="D37" s="10" t="inlineStr">
        <is>
          <t>FY2024 Headline earnings per share - total (cents)</t>
        </is>
      </c>
      <c r="E37" s="10" t="inlineStr">
        <is>
          <t>FY2024</t>
        </is>
      </c>
      <c r="F37" s="10" t="inlineStr">
        <is>
          <t>as_reported</t>
        </is>
      </c>
      <c r="G37" s="11" t="n">
        <v>1191.4</v>
      </c>
      <c r="H37" s="10" t="inlineStr">
        <is>
          <t>units</t>
        </is>
      </c>
      <c r="I37" s="10" t="inlineStr">
        <is>
          <t>cents_per_share</t>
        </is>
      </c>
      <c r="J37" s="10" t="inlineStr">
        <is>
          <t>ZAR</t>
        </is>
      </c>
      <c r="K37" s="10" t="n">
        <v>21</v>
      </c>
      <c r="L37" s="12" t="n"/>
      <c r="M37" s="10" t="inlineStr">
        <is>
          <t>headline_earnings_per_share_-_total_(cents)</t>
        </is>
      </c>
      <c r="N37" s="10" t="inlineStr">
        <is>
          <t>Believed from Sept 2024 (FY2024 AFS) until Oct 2025</t>
        </is>
      </c>
    </row>
    <row r="38">
      <c r="A38" s="10" t="n">
        <v>34</v>
      </c>
      <c r="B38" s="10" t="inlineStr">
        <is>
          <t>bitemporal_pair</t>
        </is>
      </c>
      <c r="C38" s="10" t="inlineStr">
        <is>
          <t>45</t>
        </is>
      </c>
      <c r="D38" s="10" t="inlineStr">
        <is>
          <t>FY2024 Headline earnings per share - total (cents)</t>
        </is>
      </c>
      <c r="E38" s="10" t="inlineStr">
        <is>
          <t>FY2024</t>
        </is>
      </c>
      <c r="F38" s="10" t="inlineStr">
        <is>
          <t>restated</t>
        </is>
      </c>
      <c r="G38" s="11" t="n">
        <v>1191.4</v>
      </c>
      <c r="H38" s="10" t="inlineStr">
        <is>
          <t>units</t>
        </is>
      </c>
      <c r="I38" s="10" t="inlineStr">
        <is>
          <t>cents_per_share</t>
        </is>
      </c>
      <c r="J38" s="10" t="inlineStr">
        <is>
          <t>ZAR</t>
        </is>
      </c>
      <c r="K38" s="10" t="n"/>
      <c r="L38" s="12" t="n"/>
      <c r="M38" s="10" t="inlineStr">
        <is>
          <t>headline_earnings_per_share_-_total_(cents)</t>
        </is>
      </c>
      <c r="N38" s="10" t="inlineStr">
        <is>
          <t>Believed from Oct 2025 (FY2025 AFS note 45) onward. pdf_page refers to the FY2025 document, not this one</t>
        </is>
      </c>
    </row>
    <row r="39">
      <c r="A39" s="10" t="n">
        <v>35</v>
      </c>
      <c r="B39" s="10" t="inlineStr">
        <is>
          <t>bitemporal_pair</t>
        </is>
      </c>
      <c r="C39" s="10" t="inlineStr"/>
      <c r="D39" s="10" t="inlineStr">
        <is>
          <t>FY2024 Headline earnings per share - continuing (cents)</t>
        </is>
      </c>
      <c r="E39" s="10" t="inlineStr">
        <is>
          <t>FY2024</t>
        </is>
      </c>
      <c r="F39" s="10" t="inlineStr">
        <is>
          <t>as_reported</t>
        </is>
      </c>
      <c r="G39" s="11" t="n">
        <v>1250.5</v>
      </c>
      <c r="H39" s="10" t="inlineStr">
        <is>
          <t>units</t>
        </is>
      </c>
      <c r="I39" s="10" t="inlineStr">
        <is>
          <t>cents_per_share</t>
        </is>
      </c>
      <c r="J39" s="10" t="inlineStr">
        <is>
          <t>ZAR</t>
        </is>
      </c>
      <c r="K39" s="10" t="n">
        <v>21</v>
      </c>
      <c r="L39" s="12" t="n"/>
      <c r="M39" s="10" t="inlineStr">
        <is>
          <t>headline_earnings_per_share_-_continuing_(cents)</t>
        </is>
      </c>
      <c r="N39" s="10" t="inlineStr">
        <is>
          <t>Believed from Sept 2024 (FY2024 AFS) until Oct 2025</t>
        </is>
      </c>
    </row>
    <row r="40">
      <c r="A40" s="10" t="n">
        <v>36</v>
      </c>
      <c r="B40" s="10" t="inlineStr">
        <is>
          <t>bitemporal_pair</t>
        </is>
      </c>
      <c r="C40" s="10" t="inlineStr">
        <is>
          <t>45</t>
        </is>
      </c>
      <c r="D40" s="10" t="inlineStr">
        <is>
          <t>FY2024 Headline earnings per share - continuing (cents)</t>
        </is>
      </c>
      <c r="E40" s="10" t="inlineStr">
        <is>
          <t>FY2024</t>
        </is>
      </c>
      <c r="F40" s="10" t="inlineStr">
        <is>
          <t>restated</t>
        </is>
      </c>
      <c r="G40" s="11" t="n">
        <v>1185.3</v>
      </c>
      <c r="H40" s="10" t="inlineStr">
        <is>
          <t>units</t>
        </is>
      </c>
      <c r="I40" s="10" t="inlineStr">
        <is>
          <t>cents_per_share</t>
        </is>
      </c>
      <c r="J40" s="10" t="inlineStr">
        <is>
          <t>ZAR</t>
        </is>
      </c>
      <c r="K40" s="10" t="n"/>
      <c r="L40" s="12" t="n"/>
      <c r="M40" s="10" t="inlineStr">
        <is>
          <t>headline_earnings_per_share_-_continuing_(cents)</t>
        </is>
      </c>
      <c r="N40" s="10" t="inlineStr">
        <is>
          <t>Believed from Oct 2025 (FY2025 AFS note 45) onward. pdf_page refers to the FY2025 document, not this one</t>
        </is>
      </c>
    </row>
  </sheetData>
  <autoFilter ref="A4:N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44" customWidth="1" min="3" max="3"/>
    <col width="66" customWidth="1" min="4" max="4"/>
  </cols>
  <sheetData>
    <row r="1">
      <c r="A1" s="13" t="inlineStr">
        <is>
          <t>#</t>
        </is>
      </c>
      <c r="B1" s="13" t="inlineStr">
        <is>
          <t>What changed between FY2024 and FY2025 reports</t>
        </is>
      </c>
      <c r="C1" s="13" t="inlineStr">
        <is>
          <t>Evidence</t>
        </is>
      </c>
      <c r="D1" s="13" t="inlineStr">
        <is>
          <t>Consequence for extraction / taxonomy</t>
        </is>
      </c>
    </row>
    <row r="2">
      <c r="A2" s="14" t="n">
        <v>1</v>
      </c>
      <c r="B2" s="15" t="inlineStr">
        <is>
          <t>Line renamed</t>
        </is>
      </c>
      <c r="C2" s="15" t="inlineStr">
        <is>
          <t>'Other operating income' (FY2024) -&gt; 'Alternative revenue' (FY2025)</t>
        </is>
      </c>
      <c r="D2" s="15" t="inlineStr">
        <is>
          <t>Same concept, different as-reported label. This is what line_item_id exists for.</t>
        </is>
      </c>
    </row>
    <row r="3">
      <c r="A3" s="14" t="n">
        <v>2</v>
      </c>
      <c r="B3" s="15" t="inlineStr">
        <is>
          <t>Lines disappeared from the face</t>
        </is>
      </c>
      <c r="C3" s="15" t="inlineStr">
        <is>
          <t>Insurance revenue, Insurance service expenses, Net monetary gain present in FY2024, absent in FY2025</t>
        </is>
      </c>
      <c r="D3" s="15" t="inlineStr">
        <is>
          <t>An extractor expecting a stable line set will report missing facts. Absence is information, not an error.</t>
        </is>
      </c>
    </row>
    <row r="4">
      <c r="A4" s="14" t="n">
        <v>3</v>
      </c>
      <c r="B4" s="15" t="inlineStr">
        <is>
          <t>Line disappeared from balance sheet</t>
        </is>
      </c>
      <c r="C4" s="15" t="inlineStr">
        <is>
          <t>Convertible loans (note 10, FY2024) not present FY2025</t>
        </is>
      </c>
      <c r="D4" s="15" t="inlineStr">
        <is>
          <t>Same.</t>
        </is>
      </c>
    </row>
    <row r="5">
      <c r="A5" s="14" t="n">
        <v>4</v>
      </c>
      <c r="B5" s="15" t="inlineStr">
        <is>
          <t>Segment count changed</t>
        </is>
      </c>
      <c r="C5" s="15" t="inlineStr">
        <is>
          <t>FY2024 has 4 segments incl. Furniture; FY2025 has 3</t>
        </is>
      </c>
      <c r="D5" s="15" t="inlineStr">
        <is>
          <t>Segment identity is not stable. A segment can cease to exist.</t>
        </is>
      </c>
    </row>
    <row r="6">
      <c r="A6" s="14" t="n">
        <v>5</v>
      </c>
      <c r="B6" s="15" t="inlineStr">
        <is>
          <t>Reconciling column renamed</t>
        </is>
      </c>
      <c r="C6" s="15" t="inlineStr">
        <is>
          <t>'Hyperinflation effect' -&gt; 'Hyperinflation effect and other reconciling items'</t>
        </is>
      </c>
      <c r="D6" s="15" t="inlineStr">
        <is>
          <t>M5.7's segment rule keys on this column; the label moved.</t>
        </is>
      </c>
    </row>
    <row r="7">
      <c r="A7" s="14" t="n">
        <v>6</v>
      </c>
      <c r="B7" s="15" t="inlineStr">
        <is>
          <t>Note numbers shifted</t>
        </is>
      </c>
      <c r="C7" s="15" t="inlineStr">
        <is>
          <t>Inventories note 17 -&gt; 16; Stated capital 18 -&gt; 17; Lease liabilities 21 -&gt; 20</t>
        </is>
      </c>
      <c r="D7" s="15" t="inlineStr">
        <is>
          <t>Note references are NOT stable identifiers. Never key provenance on a note number.</t>
        </is>
      </c>
    </row>
    <row r="8">
      <c r="A8" s="14" t="n">
        <v>7</v>
      </c>
      <c r="B8" s="15" t="inlineStr">
        <is>
          <t>Restatement reason differs by year</t>
        </is>
      </c>
      <c r="C8" s="15" t="inlineStr">
        <is>
          <t>FY2024 restated FY2023 for IFRS 17. FY2025 restated FY2024 for IFRS 5.</t>
        </is>
      </c>
      <c r="D8" s="15" t="inlineStr">
        <is>
          <t>Restatements are not one kind of event. The reason matters and should be captured.</t>
        </is>
      </c>
    </row>
    <row r="9">
      <c r="A9" s="14" t="n">
        <v>8</v>
      </c>
      <c r="B9" s="15" t="inlineStr">
        <is>
          <t>Totals unchanged, splits moved</t>
        </is>
      </c>
      <c r="C9" s="15" t="inlineStr">
        <is>
          <t>Profit for the year 6 221 and total HEPS 1 191.4 identical before and after restatement</t>
        </is>
      </c>
      <c r="D9" s="15" t="inlineStr">
        <is>
          <t>A restatement-detection rule that compares only headline totals will miss this entirely.</t>
        </is>
      </c>
    </row>
    <row r="10">
      <c r="A10" s="14" t="n">
        <v>9</v>
      </c>
      <c r="B10" s="15" t="inlineStr">
        <is>
          <t>New disclosure appears</t>
        </is>
      </c>
      <c r="C10" s="15" t="inlineStr">
        <is>
          <t>FY2025 adds Sixty60 sales, capex expand/maintain split unchanged, Boxer-style detail</t>
        </is>
      </c>
      <c r="D10" s="15" t="inlineStr">
        <is>
          <t>New concepts arrive over time; the taxonomy must be additive.</t>
        </is>
      </c>
    </row>
    <row r="11">
      <c r="A11" s="14" t="n">
        <v>10</v>
      </c>
      <c r="B11" s="18" t="inlineStr">
        <is>
          <t>Composition of 'Revenue' itself changed</t>
        </is>
      </c>
      <c r="C11" s="19" t="inlineStr">
        <is>
          <t>FY2024 Revenue = merchandise + other operating income + interest + insurance revenue (4 components, 246 082). FY2025 Revenue = merchandise + alternative revenue + interest (3 components, 256 682).</t>
        </is>
      </c>
      <c r="D11" s="20" t="inlineStr">
        <is>
          <t>A validation rule written against one year's structure FAILS on another year of the SAME company, on a correct document. M5.5 cannot hardcode which components make up a total - it must read the structure from the statement being validated.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5" customWidth="1" min="3" max="3"/>
    <col width="15" customWidth="1" min="4" max="4"/>
    <col width="13" customWidth="1" min="5" max="5"/>
    <col width="10" customWidth="1" min="6" max="6"/>
    <col width="10" customWidth="1" min="7" max="7"/>
  </cols>
  <sheetData>
    <row r="1">
      <c r="A1" s="6" t="inlineStr">
        <is>
          <t>Validation checks - FY2024 as reported</t>
        </is>
      </c>
    </row>
    <row r="4">
      <c r="A4" s="13" t="inlineStr">
        <is>
          <t>#</t>
        </is>
      </c>
      <c r="B4" s="13" t="inlineStr">
        <is>
          <t>Check</t>
        </is>
      </c>
      <c r="C4" s="13" t="inlineStr">
        <is>
          <t>Expected</t>
        </is>
      </c>
      <c r="D4" s="13" t="inlineStr">
        <is>
          <t>Computed</t>
        </is>
      </c>
      <c r="E4" s="13" t="inlineStr">
        <is>
          <t>Difference</t>
        </is>
      </c>
      <c r="F4" s="13" t="inlineStr">
        <is>
          <t>Result</t>
        </is>
      </c>
      <c r="G4" s="13" t="inlineStr">
        <is>
          <t>M5 rule</t>
        </is>
      </c>
    </row>
    <row r="5">
      <c r="A5" s="14" t="n">
        <v>1</v>
      </c>
      <c r="B5" s="14" t="inlineStr">
        <is>
          <t>Gross profit = merchandise less cost of sales (FY2024)</t>
        </is>
      </c>
      <c r="C5" s="16">
        <f>'IncomeStatement'!G11</f>
        <v/>
      </c>
      <c r="D5" s="16">
        <f>'IncomeStatement'!G7+'IncomeStatement'!G9</f>
        <v/>
      </c>
      <c r="E5" s="16">
        <f>C5-D5</f>
        <v/>
      </c>
      <c r="F5" s="17">
        <f>IF(ABS(E5)&lt;0.6,"PASS","FAIL")</f>
        <v/>
      </c>
      <c r="G5" s="14" t="inlineStr">
        <is>
          <t>5.5</t>
        </is>
      </c>
    </row>
    <row r="6">
      <c r="A6" s="14" t="n">
        <v>2</v>
      </c>
      <c r="B6" s="21" t="inlineStr">
        <is>
          <t>Revenue = merchandise + other operating income + interest + INSURANCE (FY2024)</t>
        </is>
      </c>
      <c r="C6" s="16">
        <f>'IncomeStatement'!G5</f>
        <v/>
      </c>
      <c r="D6" s="16">
        <f>'IncomeStatement'!G7+'IncomeStatement'!G13+'IncomeStatement'!G15+IncomeStatement!G19</f>
        <v/>
      </c>
      <c r="E6" s="16">
        <f>C6-D6</f>
        <v/>
      </c>
      <c r="F6" s="17">
        <f>IF(ABS(E6)&lt;0.6,"PASS","FAIL")</f>
        <v/>
      </c>
      <c r="G6" s="14" t="inlineStr">
        <is>
          <t>5.5</t>
        </is>
      </c>
    </row>
    <row r="7">
      <c r="A7" s="14" t="n">
        <v>3</v>
      </c>
      <c r="B7" s="14" t="inlineStr">
        <is>
          <t>Profit for year = continuing + discontinued (FY2024)</t>
        </is>
      </c>
      <c r="C7" s="16">
        <f>'IncomeStatement'!G55</f>
        <v/>
      </c>
      <c r="D7" s="16">
        <f>'IncomeStatement'!G51+'IncomeStatement'!G53</f>
        <v/>
      </c>
      <c r="E7" s="16">
        <f>C7-D7</f>
        <v/>
      </c>
      <c r="F7" s="17">
        <f>IF(ABS(E7)&lt;0.6,"PASS","FAIL")</f>
        <v/>
      </c>
      <c r="G7" s="14" t="inlineStr">
        <is>
          <t>5.5</t>
        </is>
      </c>
    </row>
    <row r="8">
      <c r="A8" s="14" t="n">
        <v>4</v>
      </c>
      <c r="B8" s="14" t="inlineStr">
        <is>
          <t>Profit = owners + NCI (FY2024)</t>
        </is>
      </c>
      <c r="C8" s="16">
        <f>'IncomeStatement'!G55</f>
        <v/>
      </c>
      <c r="D8" s="16">
        <f>'IncomeStatement'!G61+'IncomeStatement'!G63</f>
        <v/>
      </c>
      <c r="E8" s="16">
        <f>C8-D8</f>
        <v/>
      </c>
      <c r="F8" s="17">
        <f>IF(ABS(E8)&lt;0.6,"PASS","FAIL")</f>
        <v/>
      </c>
      <c r="G8" s="14" t="inlineStr">
        <is>
          <t>5.5</t>
        </is>
      </c>
    </row>
    <row r="9">
      <c r="A9" s="14" t="n">
        <v>5</v>
      </c>
      <c r="B9" s="14" t="inlineStr">
        <is>
          <t>Current assets excl HFS + HFS = current assets (FY2024)</t>
        </is>
      </c>
      <c r="C9" s="16">
        <f>'BalanceSheet'!G31</f>
        <v/>
      </c>
      <c r="D9" s="16">
        <f>'BalanceSheet'!G49+'BalanceSheet'!G51</f>
        <v/>
      </c>
      <c r="E9" s="16">
        <f>C9-D9</f>
        <v/>
      </c>
      <c r="F9" s="17">
        <f>IF(ABS(E9)&lt;0.6,"PASS","FAIL")</f>
        <v/>
      </c>
      <c r="G9" s="14" t="inlineStr">
        <is>
          <t>5.3</t>
        </is>
      </c>
    </row>
    <row r="10">
      <c r="A10" s="14" t="n">
        <v>6</v>
      </c>
      <c r="B10" s="14" t="inlineStr">
        <is>
          <t>Equity attributable to owners + NCI = total equity (FY2024)</t>
        </is>
      </c>
      <c r="C10" s="16">
        <f>'BalanceSheet'!G65</f>
        <v/>
      </c>
      <c r="D10" s="16">
        <f>'BalanceSheet'!G61+'BalanceSheet'!G63</f>
        <v/>
      </c>
      <c r="E10" s="16">
        <f>C10-D10</f>
        <v/>
      </c>
      <c r="F10" s="17">
        <f>IF(ABS(E10)&lt;0.6,"PASS","FAIL")</f>
        <v/>
      </c>
      <c r="G10" s="14" t="inlineStr">
        <is>
          <t>5.3</t>
        </is>
      </c>
    </row>
    <row r="11">
      <c r="A11" s="14" t="n">
        <v>7</v>
      </c>
      <c r="B11" s="14" t="inlineStr">
        <is>
          <t>Segments + hyperinflation = consolidated revenue (FY2024)</t>
        </is>
      </c>
      <c r="C11" s="16">
        <f>'Segments'!G11</f>
        <v/>
      </c>
      <c r="D11" s="16">
        <f>'Segments'!G9+'Segments'!G10</f>
        <v/>
      </c>
      <c r="E11" s="16">
        <f>C11-D11</f>
        <v/>
      </c>
      <c r="F11" s="17">
        <f>IF(ABS(E11)&lt;0.6,"PASS","FAIL")</f>
        <v/>
      </c>
      <c r="G11" s="14" t="inlineStr">
        <is>
          <t>5.7</t>
        </is>
      </c>
    </row>
    <row r="12">
      <c r="A12" s="14" t="n">
        <v>8</v>
      </c>
      <c r="B12" s="14" t="inlineStr">
        <is>
          <t>Four segments sum to total operating segments (FY2024)</t>
        </is>
      </c>
      <c r="C12" s="16">
        <f>'Segments'!G9</f>
        <v/>
      </c>
      <c r="D12" s="16">
        <f>'Segments'!G5+'Segments'!G6+'Segments'!G7+'Segments'!G8</f>
        <v/>
      </c>
      <c r="E12" s="16">
        <f>C12-D12</f>
        <v/>
      </c>
      <c r="F12" s="17">
        <f>IF(ABS(E12)&lt;0.6,"PASS","FAIL")</f>
        <v/>
      </c>
      <c r="G12" s="14" t="inlineStr">
        <is>
          <t>5.7</t>
        </is>
      </c>
    </row>
    <row r="13">
      <c r="A13" s="14" t="n">
        <v>9</v>
      </c>
      <c r="B13" s="14" t="inlineStr">
        <is>
          <t>Segment total assets = balance sheet total assets (FY2024)</t>
        </is>
      </c>
      <c r="C13" s="16">
        <f>'BalanceSheet'!G53</f>
        <v/>
      </c>
      <c r="D13" s="16">
        <f>'Segments'!G53</f>
        <v/>
      </c>
      <c r="E13" s="16">
        <f>C13-D13</f>
        <v/>
      </c>
      <c r="F13" s="17">
        <f>IF(ABS(E13)&lt;0.6,"PASS","FAIL")</f>
        <v/>
      </c>
      <c r="G13" s="14" t="inlineStr">
        <is>
          <t>5.7</t>
        </is>
      </c>
    </row>
    <row r="14">
      <c r="A14" s="14" t="n">
        <v>10</v>
      </c>
      <c r="B14" s="14" t="inlineStr">
        <is>
          <t>HEPS foots (FY2024)</t>
        </is>
      </c>
      <c r="C14" s="16">
        <f>'HEPS'!G53</f>
        <v/>
      </c>
      <c r="D14" s="16">
        <f>'HEPS'!G50/543866*100000</f>
        <v/>
      </c>
      <c r="E14" s="16">
        <f>C14-D14</f>
        <v/>
      </c>
      <c r="F14" s="17">
        <f>IF(ABS(E14)&lt;0.6,"PASS","FAIL")</f>
        <v/>
      </c>
      <c r="G14" s="14" t="inlineStr">
        <is>
          <t>5.6</t>
        </is>
      </c>
    </row>
    <row r="15">
      <c r="A15" s="14" t="n">
        <v>11</v>
      </c>
      <c r="B15" s="14" t="inlineStr">
        <is>
          <t>Restatement left profit for the year unchanged</t>
        </is>
      </c>
      <c r="C15" s="16">
        <f>'Bitemporal_Pair'!G36</f>
        <v/>
      </c>
      <c r="D15" s="16">
        <f>'Bitemporal_Pair'!G37</f>
        <v/>
      </c>
      <c r="E15" s="16">
        <f>C15-D15</f>
        <v/>
      </c>
      <c r="F15" s="17">
        <f>IF(ABS(E15)&lt;0.6,"PASS","FAIL")</f>
        <v/>
      </c>
      <c r="G15" s="14" t="inlineStr">
        <is>
          <t>5.9</t>
        </is>
      </c>
    </row>
    <row r="16">
      <c r="A16" s="14" t="n">
        <v>12</v>
      </c>
      <c r="B16" s="14" t="inlineStr">
        <is>
          <t>Restatement left total HEPS unchanged</t>
        </is>
      </c>
      <c r="C16" s="16">
        <f>'Bitemporal_Pair'!G38</f>
        <v/>
      </c>
      <c r="D16" s="16">
        <f>'Bitemporal_Pair'!G39</f>
        <v/>
      </c>
      <c r="E16" s="16">
        <f>C16-D16</f>
        <v/>
      </c>
      <c r="F16" s="17">
        <f>IF(ABS(E16)&lt;0.6,"PASS","FAIL")</f>
        <v/>
      </c>
      <c r="G16" s="14" t="inlineStr">
        <is>
          <t>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2026-08-13T01:27:13Z</dcterms:created>
  <dcterms:modified xmlns:dcterms="http://purl.org/dc/terms/" xmlns:xsi="http://www.w3.org/2001/XMLSchema-instance" xsi:type="dcterms:W3CDTF">2026-08-13T01:28:07Z</dcterms:modified>
</cp:coreProperties>
</file>