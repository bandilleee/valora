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omeStatement" sheetId="2" state="visible" r:id="rId2"/>
    <sheet xmlns:r="http://schemas.openxmlformats.org/officeDocument/2006/relationships" name="BalanceSheet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HEPS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statement_N45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Concepts_Discovered" sheetId="9" state="visible" r:id="rId9"/>
  </sheets>
  <definedNames>
    <definedName name="_xlnm._FilterDatabase" localSheetId="1" hidden="1">'IncomeStatement'!$A$4:$N$62</definedName>
    <definedName name="_xlnm._FilterDatabase" localSheetId="2" hidden="1">'BalanceSheet'!$A$4:$N$94</definedName>
    <definedName name="_xlnm._FilterDatabase" localSheetId="3" hidden="1">'CashFlow'!$A$4:$N$86</definedName>
    <definedName name="_xlnm._FilterDatabase" localSheetId="4" hidden="1">'HEPS'!$A$4:$N$57</definedName>
    <definedName name="_xlnm._FilterDatabase" localSheetId="5" hidden="1">'Segments'!$A$4:$N$46</definedName>
    <definedName name="_xlnm._FilterDatabase" localSheetId="6" hidden="1">'Restatement_N45'!$A$4:$N$24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;-"/>
  </numFmts>
  <fonts count="1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C00000"/>
      <sz val="9"/>
    </font>
    <font>
      <name val="Arial"/>
      <b val="1"/>
      <sz val="10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C00000"/>
      <sz val="11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1" pivotButton="0" quotePrefix="0" xfId="0"/>
    <xf numFmtId="164" fontId="5" fillId="0" borderId="1" pivotButton="0" quotePrefix="0" xfId="0"/>
    <xf numFmtId="0" fontId="4" fillId="3" borderId="1" pivotButton="0" quotePrefix="0" xfId="0"/>
    <xf numFmtId="0" fontId="6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Valora - M2 hand-entry template: Shoprite Holdings (SHP), FY2025</t>
        </is>
      </c>
    </row>
    <row r="2">
      <c r="A2" s="2" t="inlineStr"/>
    </row>
    <row r="3">
      <c r="A3" s="3" t="inlineStr">
        <is>
          <t>SOURCE DOCUMENT</t>
        </is>
      </c>
    </row>
    <row r="4">
      <c r="A4" s="2" t="inlineStr">
        <is>
          <t>Shoprite Holdings Limited - Annual Financial Statements 2025</t>
        </is>
      </c>
    </row>
    <row r="5">
      <c r="A5" s="2" t="inlineStr">
        <is>
          <t>52 weeks ended 29 June 2025. Presentation currency ZAR, figures in Rm (millions).</t>
        </is>
      </c>
    </row>
    <row r="6">
      <c r="A6" s="2" t="inlineStr">
        <is>
          <t>Authorised for issue by the Board on 1 October 2025.</t>
        </is>
      </c>
    </row>
    <row r="7">
      <c r="A7" s="2" t="inlineStr"/>
    </row>
    <row r="8">
      <c r="A8" s="4" t="inlineStr">
        <is>
          <t>WHAT YOU MUST DO - this is not finished</t>
        </is>
      </c>
    </row>
    <row r="9">
      <c r="A9" s="2" t="inlineStr">
        <is>
          <t>1. Values are pre-filled from the published statements. They are NOT yet verified. Check each against the PDF.</t>
        </is>
      </c>
    </row>
    <row r="10">
      <c r="A10" s="2" t="inlineStr">
        <is>
          <t>2. Fill the 'page' column for every row. This is the provenance link - facts.page is NOT NULL in the schema.</t>
        </is>
      </c>
    </row>
    <row r="11">
      <c r="A11" s="2" t="inlineStr">
        <is>
          <t>3. Set 'verified' to Y once you have seen the figure on the page with your own eyes.</t>
        </is>
      </c>
    </row>
    <row r="12">
      <c r="A12" s="2" t="inlineStr">
        <is>
          <t>4. Open the Checks sheet. Every check must read PASS before this becomes golden dataset.</t>
        </is>
      </c>
    </row>
    <row r="13">
      <c r="A13" s="2" t="inlineStr">
        <is>
          <t>5. Add anything you find confusing to Concepts_Discovered - that sheet is the raw material for M2.11.</t>
        </is>
      </c>
    </row>
    <row r="14">
      <c r="A14" s="2" t="inlineStr"/>
    </row>
    <row r="15">
      <c r="A15" s="3" t="inlineStr">
        <is>
          <t>COLUMN MEANINGS</t>
        </is>
      </c>
    </row>
    <row r="16">
      <c r="A16" s="2" t="inlineStr">
        <is>
          <t>as_reported_label   The company's exact wording. Never edit it to be tidier - principle 3, as-reported is never destroyed.</t>
        </is>
      </c>
    </row>
    <row r="17">
      <c r="A17" s="2" t="inlineStr">
        <is>
          <t>period              FY2025 or FY2024.</t>
        </is>
      </c>
    </row>
    <row r="18">
      <c r="A18" s="2" t="inlineStr">
        <is>
          <t>basis               as_reported or restated. Read the note below - it differs by statement within this one document.</t>
        </is>
      </c>
    </row>
    <row r="19">
      <c r="A19" s="2" t="inlineStr">
        <is>
          <t>value_as_printed    Exactly as printed, including sign. Parentheses in the AFS mean negative.</t>
        </is>
      </c>
    </row>
    <row r="20">
      <c r="A20" s="2" t="inlineStr">
        <is>
          <t>scale               millions here, because the statements are headed Rm. The M2.12 loader multiplies to canonical units.</t>
        </is>
      </c>
    </row>
    <row r="21">
      <c r="A21" s="2" t="inlineStr">
        <is>
          <t>unit                currency / cents_per_share / count. Maps to concepts.unit_type.</t>
        </is>
      </c>
    </row>
    <row r="22">
      <c r="A22" s="2" t="inlineStr">
        <is>
          <t>page                YOU FILL. PDF page number where the figure appears.</t>
        </is>
      </c>
    </row>
    <row r="23">
      <c r="A23" s="2" t="inlineStr">
        <is>
          <t>verified            YOU FILL. Y once checked against the page.</t>
        </is>
      </c>
    </row>
    <row r="24">
      <c r="A24" s="2" t="inlineStr">
        <is>
          <t>concept_suggestion  Proposed standard concept code. Argue with these - that argument is M2.11.</t>
        </is>
      </c>
    </row>
    <row r="25">
      <c r="A25" s="2" t="inlineStr"/>
    </row>
    <row r="26">
      <c r="A26" s="4" t="inlineStr">
        <is>
          <t>THE THING MOST LIKELY TO TRIP YOU UP</t>
        </is>
      </c>
    </row>
    <row r="27">
      <c r="A27" s="5" t="inlineStr">
        <is>
          <t>This document restates FY2024 - but not everywhere.</t>
        </is>
      </c>
    </row>
    <row r="28">
      <c r="A28" s="2" t="inlineStr">
        <is>
          <t>The income statement comparative WAS restated for discontinued operations (note 45), so its basis is 'restated'.</t>
        </is>
      </c>
    </row>
    <row r="29">
      <c r="A29" s="2" t="inlineStr">
        <is>
          <t>The balance sheet comparative was NOT restated - IFRS 5 does not require it - so its basis is 'as_reported'.</t>
        </is>
      </c>
    </row>
    <row r="30">
      <c r="A30" s="5" t="inlineStr">
        <is>
          <t>Two different bases, same document, same fiscal year. basis must be set per fact, never per filing.</t>
        </is>
      </c>
    </row>
    <row r="31">
      <c r="A31" s="2" t="inlineStr">
        <is>
          <t>Sheet Restatement_N45 holds both versions of FY2024. That pair is your first real bitemporal test case.</t>
        </is>
      </c>
    </row>
    <row r="32">
      <c r="A32" s="2" t="inlineStr"/>
    </row>
    <row r="33">
      <c r="A33" s="3" t="inlineStr">
        <is>
          <t>COMPANY-DEFINED MEASURES - not IFRS</t>
        </is>
      </c>
    </row>
    <row r="34">
      <c r="A34" s="2" t="inlineStr">
        <is>
          <t>trading profit and items of a capital nature are defined by Shoprite in policy note 1.1.2, not by IFRS.</t>
        </is>
      </c>
    </row>
    <row r="35">
      <c r="A35" s="2" t="inlineStr">
        <is>
          <t>Analysts model trading profit heavily, so capture it - but flag it as company-defined, because another retailer's</t>
        </is>
      </c>
    </row>
    <row r="36">
      <c r="A36" s="2" t="inlineStr">
        <is>
          <t>'trading profit' may not mean the same thing. This is exactly the conflict M8.7 has to resolve.</t>
        </is>
      </c>
    </row>
    <row r="37">
      <c r="A37" s="2" t="inlineStr"/>
    </row>
    <row r="38">
      <c r="A38" s="3" t="inlineStr">
        <is>
          <t>52/53-WEEK CALENDAR</t>
        </is>
      </c>
    </row>
    <row r="39">
      <c r="A39" s="2" t="inlineStr">
        <is>
          <t>Policy note 1.1: Shoprite reports on a retail calendar of exactly 52 weeks, with a 53rd week roughly every six years.</t>
        </is>
      </c>
    </row>
    <row r="40">
      <c r="A40" s="2" t="inlineStr">
        <is>
          <t>FY2025 = 52 weeks ended 29 June 2025. Do not assume period_end is the last day of the fye_month.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52" customWidth="1" min="4" max="4"/>
    <col width="9" customWidth="1" min="5" max="5"/>
    <col width="13" customWidth="1" min="6" max="6"/>
    <col width="16" customWidth="1" min="7" max="7"/>
    <col width="11" customWidth="1" min="8" max="8"/>
    <col width="10" customWidth="1" min="9" max="9"/>
    <col width="9" customWidth="1" min="10" max="10"/>
    <col width="8" customWidth="1" min="11" max="11"/>
    <col width="9" customWidth="1" min="12" max="12"/>
    <col width="30" customWidth="1" min="13" max="13"/>
    <col width="44" customWidth="1" min="14" max="14"/>
  </cols>
  <sheetData>
    <row r="1">
      <c r="A1" s="6" t="inlineStr">
        <is>
          <t>M2.5  Consolidated statement of comprehensive income (profit or loss section)</t>
        </is>
      </c>
    </row>
    <row r="2">
      <c r="A2" s="7" t="inlineStr">
        <is>
          <t>Source: Shoprite Holdings Ltd, Annual Financial Statements 2025 (52 weeks ended 29 June 2025). Values pre-filled from the published statements — VERIFY each against the PDF, then fill 'page' and set 'verified' to Y.</t>
        </is>
      </c>
    </row>
    <row r="4">
      <c r="A4" s="8" t="inlineStr">
        <is>
          <t>row_id</t>
        </is>
      </c>
      <c r="B4" s="8" t="inlineStr">
        <is>
          <t>statement</t>
        </is>
      </c>
      <c r="C4" s="8" t="inlineStr">
        <is>
          <t>note_ref</t>
        </is>
      </c>
      <c r="D4" s="8" t="inlineStr">
        <is>
          <t>as_reported_label</t>
        </is>
      </c>
      <c r="E4" s="8" t="inlineStr">
        <is>
          <t>period</t>
        </is>
      </c>
      <c r="F4" s="8" t="inlineStr">
        <is>
          <t>basis</t>
        </is>
      </c>
      <c r="G4" s="8" t="inlineStr">
        <is>
          <t>value_as_printed</t>
        </is>
      </c>
      <c r="H4" s="8" t="inlineStr">
        <is>
          <t>scale</t>
        </is>
      </c>
      <c r="I4" s="8" t="inlineStr">
        <is>
          <t>unit</t>
        </is>
      </c>
      <c r="J4" s="8" t="inlineStr">
        <is>
          <t>currency</t>
        </is>
      </c>
      <c r="K4" s="8" t="inlineStr">
        <is>
          <t>page</t>
        </is>
      </c>
      <c r="L4" s="8" t="inlineStr">
        <is>
          <t>verified</t>
        </is>
      </c>
      <c r="M4" s="8" t="inlineStr">
        <is>
          <t>concept_suggestion</t>
        </is>
      </c>
      <c r="N4" s="8" t="inlineStr">
        <is>
          <t>notes</t>
        </is>
      </c>
    </row>
    <row r="5">
      <c r="A5" s="9" t="n">
        <v>1</v>
      </c>
      <c r="B5" s="9" t="inlineStr">
        <is>
          <t>income_statement</t>
        </is>
      </c>
      <c r="C5" s="9" t="inlineStr">
        <is>
          <t>26</t>
        </is>
      </c>
      <c r="D5" s="9" t="inlineStr">
        <is>
          <t>Revenue</t>
        </is>
      </c>
      <c r="E5" s="9" t="inlineStr">
        <is>
          <t>FY2025</t>
        </is>
      </c>
      <c r="F5" s="9" t="inlineStr">
        <is>
          <t>as_reported</t>
        </is>
      </c>
      <c r="G5" s="10" t="n">
        <v>256682</v>
      </c>
      <c r="H5" s="9" t="inlineStr">
        <is>
          <t>millions</t>
        </is>
      </c>
      <c r="I5" s="9" t="inlineStr">
        <is>
          <t>currency</t>
        </is>
      </c>
      <c r="J5" s="9" t="inlineStr">
        <is>
          <t>ZAR</t>
        </is>
      </c>
      <c r="K5" s="11" t="n"/>
      <c r="L5" s="11" t="n"/>
      <c r="M5" s="9" t="inlineStr">
        <is>
          <t>revenue_total</t>
        </is>
      </c>
      <c r="N5" s="9" t="inlineStr">
        <is>
          <t>Total of sale of merchandise + alternative revenue + interest revenue</t>
        </is>
      </c>
    </row>
    <row r="6">
      <c r="A6" s="9" t="n">
        <v>2</v>
      </c>
      <c r="B6" s="9" t="inlineStr">
        <is>
          <t>income_statement</t>
        </is>
      </c>
      <c r="C6" s="9" t="inlineStr">
        <is>
          <t>26</t>
        </is>
      </c>
      <c r="D6" s="9" t="inlineStr">
        <is>
          <t>Revenue</t>
        </is>
      </c>
      <c r="E6" s="9" t="inlineStr">
        <is>
          <t>FY2024</t>
        </is>
      </c>
      <c r="F6" s="9" t="inlineStr">
        <is>
          <t>restated</t>
        </is>
      </c>
      <c r="G6" s="10" t="n">
        <v>236328</v>
      </c>
      <c r="H6" s="9" t="inlineStr">
        <is>
          <t>millions</t>
        </is>
      </c>
      <c r="I6" s="9" t="inlineStr">
        <is>
          <t>currency</t>
        </is>
      </c>
      <c r="J6" s="9" t="inlineStr">
        <is>
          <t>ZAR</t>
        </is>
      </c>
      <c r="K6" s="11" t="n"/>
      <c r="L6" s="11" t="n"/>
      <c r="M6" s="9" t="inlineStr">
        <is>
          <t>revenue_total</t>
        </is>
      </c>
      <c r="N6" s="9" t="inlineStr">
        <is>
          <t>FY2024 comparative RESTATED for discontinued operations (note 45). Previously-reported figures on sheet Restatement_N45</t>
        </is>
      </c>
    </row>
    <row r="7">
      <c r="A7" s="9" t="n">
        <v>3</v>
      </c>
      <c r="B7" s="9" t="inlineStr">
        <is>
          <t>income_statement</t>
        </is>
      </c>
      <c r="C7" s="9" t="inlineStr">
        <is>
          <t>26</t>
        </is>
      </c>
      <c r="D7" s="9" t="inlineStr">
        <is>
          <t>Sale of merchandise</t>
        </is>
      </c>
      <c r="E7" s="9" t="inlineStr">
        <is>
          <t>FY2025</t>
        </is>
      </c>
      <c r="F7" s="9" t="inlineStr">
        <is>
          <t>as_reported</t>
        </is>
      </c>
      <c r="G7" s="10" t="n">
        <v>252701</v>
      </c>
      <c r="H7" s="9" t="inlineStr">
        <is>
          <t>millions</t>
        </is>
      </c>
      <c r="I7" s="9" t="inlineStr">
        <is>
          <t>currency</t>
        </is>
      </c>
      <c r="J7" s="9" t="inlineStr">
        <is>
          <t>ZAR</t>
        </is>
      </c>
      <c r="K7" s="11" t="n"/>
      <c r="L7" s="11" t="n"/>
      <c r="M7" s="9" t="inlineStr">
        <is>
          <t>revenue</t>
        </is>
      </c>
      <c r="N7" s="9" t="inlineStr">
        <is>
          <t>The core retail revenue line analysts model</t>
        </is>
      </c>
    </row>
    <row r="8">
      <c r="A8" s="9" t="n">
        <v>4</v>
      </c>
      <c r="B8" s="9" t="inlineStr">
        <is>
          <t>income_statement</t>
        </is>
      </c>
      <c r="C8" s="9" t="inlineStr">
        <is>
          <t>26</t>
        </is>
      </c>
      <c r="D8" s="9" t="inlineStr">
        <is>
          <t>Sale of merchandise</t>
        </is>
      </c>
      <c r="E8" s="9" t="inlineStr">
        <is>
          <t>FY2024</t>
        </is>
      </c>
      <c r="F8" s="9" t="inlineStr">
        <is>
          <t>restated</t>
        </is>
      </c>
      <c r="G8" s="10" t="n">
        <v>232088</v>
      </c>
      <c r="H8" s="9" t="inlineStr">
        <is>
          <t>millions</t>
        </is>
      </c>
      <c r="I8" s="9" t="inlineStr">
        <is>
          <t>currency</t>
        </is>
      </c>
      <c r="J8" s="9" t="inlineStr">
        <is>
          <t>ZAR</t>
        </is>
      </c>
      <c r="K8" s="11" t="n"/>
      <c r="L8" s="11" t="n"/>
      <c r="M8" s="9" t="inlineStr">
        <is>
          <t>revenue</t>
        </is>
      </c>
      <c r="N8" s="9" t="inlineStr">
        <is>
          <t>FY2024 comparative RESTATED for discontinued operations (note 45). Previously-reported figures on sheet Restatement_N45</t>
        </is>
      </c>
    </row>
    <row r="9">
      <c r="A9" s="9" t="n">
        <v>5</v>
      </c>
      <c r="B9" s="9" t="inlineStr">
        <is>
          <t>income_statement</t>
        </is>
      </c>
      <c r="C9" s="9" t="inlineStr"/>
      <c r="D9" s="9" t="inlineStr">
        <is>
          <t>Cost of sales</t>
        </is>
      </c>
      <c r="E9" s="9" t="inlineStr">
        <is>
          <t>FY2025</t>
        </is>
      </c>
      <c r="F9" s="9" t="inlineStr">
        <is>
          <t>as_reported</t>
        </is>
      </c>
      <c r="G9" s="10" t="n">
        <v>-191259</v>
      </c>
      <c r="H9" s="9" t="inlineStr">
        <is>
          <t>millions</t>
        </is>
      </c>
      <c r="I9" s="9" t="inlineStr">
        <is>
          <t>currency</t>
        </is>
      </c>
      <c r="J9" s="9" t="inlineStr">
        <is>
          <t>ZAR</t>
        </is>
      </c>
      <c r="K9" s="11" t="n"/>
      <c r="L9" s="11" t="n"/>
      <c r="M9" s="9" t="inlineStr">
        <is>
          <t>cost_of_sales</t>
        </is>
      </c>
      <c r="N9" s="9" t="inlineStr">
        <is>
          <t>Printed in parentheses = negative. sign_convention 'signed'</t>
        </is>
      </c>
    </row>
    <row r="10">
      <c r="A10" s="9" t="n">
        <v>6</v>
      </c>
      <c r="B10" s="9" t="inlineStr">
        <is>
          <t>income_statement</t>
        </is>
      </c>
      <c r="C10" s="9" t="inlineStr"/>
      <c r="D10" s="9" t="inlineStr">
        <is>
          <t>Cost of sales</t>
        </is>
      </c>
      <c r="E10" s="9" t="inlineStr">
        <is>
          <t>FY2024</t>
        </is>
      </c>
      <c r="F10" s="9" t="inlineStr">
        <is>
          <t>restated</t>
        </is>
      </c>
      <c r="G10" s="10" t="n">
        <v>-176549</v>
      </c>
      <c r="H10" s="9" t="inlineStr">
        <is>
          <t>millions</t>
        </is>
      </c>
      <c r="I10" s="9" t="inlineStr">
        <is>
          <t>currency</t>
        </is>
      </c>
      <c r="J10" s="9" t="inlineStr">
        <is>
          <t>ZAR</t>
        </is>
      </c>
      <c r="K10" s="11" t="n"/>
      <c r="L10" s="11" t="n"/>
      <c r="M10" s="9" t="inlineStr">
        <is>
          <t>cost_of_sales</t>
        </is>
      </c>
      <c r="N10" s="9" t="inlineStr">
        <is>
          <t>FY2024 comparative RESTATED for discontinued operations (note 45). Previously-reported figures on sheet Restatement_N45</t>
        </is>
      </c>
    </row>
    <row r="11">
      <c r="A11" s="9" t="n">
        <v>7</v>
      </c>
      <c r="B11" s="9" t="inlineStr">
        <is>
          <t>income_statement</t>
        </is>
      </c>
      <c r="C11" s="9" t="inlineStr"/>
      <c r="D11" s="9" t="inlineStr">
        <is>
          <t>Gross profit</t>
        </is>
      </c>
      <c r="E11" s="9" t="inlineStr">
        <is>
          <t>FY2025</t>
        </is>
      </c>
      <c r="F11" s="9" t="inlineStr">
        <is>
          <t>as_reported</t>
        </is>
      </c>
      <c r="G11" s="10" t="n">
        <v>61442</v>
      </c>
      <c r="H11" s="9" t="inlineStr">
        <is>
          <t>millions</t>
        </is>
      </c>
      <c r="I11" s="9" t="inlineStr">
        <is>
          <t>currency</t>
        </is>
      </c>
      <c r="J11" s="9" t="inlineStr">
        <is>
          <t>ZAR</t>
        </is>
      </c>
      <c r="K11" s="11" t="n"/>
      <c r="L11" s="11" t="n"/>
      <c r="M11" s="9" t="inlineStr">
        <is>
          <t>gross_profit</t>
        </is>
      </c>
      <c r="N11" s="9" t="inlineStr">
        <is>
          <t>CHECK: sale of merchandise less cost of sales</t>
        </is>
      </c>
    </row>
    <row r="12">
      <c r="A12" s="9" t="n">
        <v>8</v>
      </c>
      <c r="B12" s="9" t="inlineStr">
        <is>
          <t>income_statement</t>
        </is>
      </c>
      <c r="C12" s="9" t="inlineStr"/>
      <c r="D12" s="9" t="inlineStr">
        <is>
          <t>Gross profit</t>
        </is>
      </c>
      <c r="E12" s="9" t="inlineStr">
        <is>
          <t>FY2024</t>
        </is>
      </c>
      <c r="F12" s="9" t="inlineStr">
        <is>
          <t>restated</t>
        </is>
      </c>
      <c r="G12" s="10" t="n">
        <v>55539</v>
      </c>
      <c r="H12" s="9" t="inlineStr">
        <is>
          <t>millions</t>
        </is>
      </c>
      <c r="I12" s="9" t="inlineStr">
        <is>
          <t>currency</t>
        </is>
      </c>
      <c r="J12" s="9" t="inlineStr">
        <is>
          <t>ZAR</t>
        </is>
      </c>
      <c r="K12" s="11" t="n"/>
      <c r="L12" s="11" t="n"/>
      <c r="M12" s="9" t="inlineStr">
        <is>
          <t>gross_profit</t>
        </is>
      </c>
      <c r="N12" s="9" t="inlineStr">
        <is>
          <t>FY2024 comparative RESTATED for discontinued operations (note 45). Previously-reported figures on sheet Restatement_N45</t>
        </is>
      </c>
    </row>
    <row r="13">
      <c r="A13" s="9" t="n">
        <v>9</v>
      </c>
      <c r="B13" s="9" t="inlineStr">
        <is>
          <t>income_statement</t>
        </is>
      </c>
      <c r="C13" s="9" t="inlineStr">
        <is>
          <t>26</t>
        </is>
      </c>
      <c r="D13" s="9" t="inlineStr">
        <is>
          <t>Alternative revenue</t>
        </is>
      </c>
      <c r="E13" s="9" t="inlineStr">
        <is>
          <t>FY2025</t>
        </is>
      </c>
      <c r="F13" s="9" t="inlineStr">
        <is>
          <t>as_reported</t>
        </is>
      </c>
      <c r="G13" s="10" t="n">
        <v>3763</v>
      </c>
      <c r="H13" s="9" t="inlineStr">
        <is>
          <t>millions</t>
        </is>
      </c>
      <c r="I13" s="9" t="inlineStr">
        <is>
          <t>currency</t>
        </is>
      </c>
      <c r="J13" s="9" t="inlineStr">
        <is>
          <t>ZAR</t>
        </is>
      </c>
      <c r="K13" s="11" t="n"/>
      <c r="L13" s="11" t="n"/>
      <c r="M13" s="9" t="inlineStr">
        <is>
          <t>alternative_revenue</t>
        </is>
      </c>
      <c r="N13" s="9" t="inlineStr">
        <is>
          <t>RENAMED this year from 'other operating income' (footnote 1) - terminology drift, see line_item_id</t>
        </is>
      </c>
    </row>
    <row r="14">
      <c r="A14" s="9" t="n">
        <v>10</v>
      </c>
      <c r="B14" s="9" t="inlineStr">
        <is>
          <t>income_statement</t>
        </is>
      </c>
      <c r="C14" s="9" t="inlineStr">
        <is>
          <t>26</t>
        </is>
      </c>
      <c r="D14" s="9" t="inlineStr">
        <is>
          <t>Alternative revenue</t>
        </is>
      </c>
      <c r="E14" s="9" t="inlineStr">
        <is>
          <t>FY2024</t>
        </is>
      </c>
      <c r="F14" s="9" t="inlineStr">
        <is>
          <t>restated</t>
        </is>
      </c>
      <c r="G14" s="10" t="n">
        <v>3927</v>
      </c>
      <c r="H14" s="9" t="inlineStr">
        <is>
          <t>millions</t>
        </is>
      </c>
      <c r="I14" s="9" t="inlineStr">
        <is>
          <t>currency</t>
        </is>
      </c>
      <c r="J14" s="9" t="inlineStr">
        <is>
          <t>ZAR</t>
        </is>
      </c>
      <c r="K14" s="11" t="n"/>
      <c r="L14" s="11" t="n"/>
      <c r="M14" s="9" t="inlineStr">
        <is>
          <t>alternative_revenue</t>
        </is>
      </c>
      <c r="N14" s="9" t="inlineStr">
        <is>
          <t>FY2024 comparative RESTATED for discontinued operations (note 45). Previously-reported figures on sheet Restatement_N45</t>
        </is>
      </c>
    </row>
    <row r="15">
      <c r="A15" s="9" t="n">
        <v>11</v>
      </c>
      <c r="B15" s="9" t="inlineStr">
        <is>
          <t>income_statement</t>
        </is>
      </c>
      <c r="C15" s="9" t="inlineStr">
        <is>
          <t>26</t>
        </is>
      </c>
      <c r="D15" s="9" t="inlineStr">
        <is>
          <t>Interest revenue</t>
        </is>
      </c>
      <c r="E15" s="9" t="inlineStr">
        <is>
          <t>FY2025</t>
        </is>
      </c>
      <c r="F15" s="9" t="inlineStr">
        <is>
          <t>as_reported</t>
        </is>
      </c>
      <c r="G15" s="10" t="n">
        <v>218</v>
      </c>
      <c r="H15" s="9" t="inlineStr">
        <is>
          <t>millions</t>
        </is>
      </c>
      <c r="I15" s="9" t="inlineStr">
        <is>
          <t>currency</t>
        </is>
      </c>
      <c r="J15" s="9" t="inlineStr">
        <is>
          <t>ZAR</t>
        </is>
      </c>
      <c r="K15" s="11" t="n"/>
      <c r="L15" s="11" t="n"/>
      <c r="M15" s="9" t="inlineStr">
        <is>
          <t>interest_revenue</t>
        </is>
      </c>
      <c r="N15" s="9" t="inlineStr"/>
    </row>
    <row r="16">
      <c r="A16" s="9" t="n">
        <v>12</v>
      </c>
      <c r="B16" s="9" t="inlineStr">
        <is>
          <t>income_statement</t>
        </is>
      </c>
      <c r="C16" s="9" t="inlineStr">
        <is>
          <t>26</t>
        </is>
      </c>
      <c r="D16" s="9" t="inlineStr">
        <is>
          <t>Interest revenue</t>
        </is>
      </c>
      <c r="E16" s="9" t="inlineStr">
        <is>
          <t>FY2024</t>
        </is>
      </c>
      <c r="F16" s="9" t="inlineStr">
        <is>
          <t>restated</t>
        </is>
      </c>
      <c r="G16" s="10" t="n">
        <v>313</v>
      </c>
      <c r="H16" s="9" t="inlineStr">
        <is>
          <t>millions</t>
        </is>
      </c>
      <c r="I16" s="9" t="inlineStr">
        <is>
          <t>currency</t>
        </is>
      </c>
      <c r="J16" s="9" t="inlineStr">
        <is>
          <t>ZAR</t>
        </is>
      </c>
      <c r="K16" s="11" t="n"/>
      <c r="L16" s="11" t="n"/>
      <c r="M16" s="9" t="inlineStr">
        <is>
          <t>interest_revenue</t>
        </is>
      </c>
      <c r="N16" s="9" t="inlineStr">
        <is>
          <t>FY2024 comparative RESTATED for discontinued operations (note 45). Previously-reported figures on sheet Restatement_N45</t>
        </is>
      </c>
    </row>
    <row r="17">
      <c r="A17" s="9" t="n">
        <v>13</v>
      </c>
      <c r="B17" s="9" t="inlineStr">
        <is>
          <t>income_statement</t>
        </is>
      </c>
      <c r="C17" s="9" t="inlineStr">
        <is>
          <t>9</t>
        </is>
      </c>
      <c r="D17" s="9" t="inlineStr">
        <is>
          <t>Share of profit of equity accounted investments</t>
        </is>
      </c>
      <c r="E17" s="9" t="inlineStr">
        <is>
          <t>FY2025</t>
        </is>
      </c>
      <c r="F17" s="9" t="inlineStr">
        <is>
          <t>as_reported</t>
        </is>
      </c>
      <c r="G17" s="10" t="n">
        <v>250</v>
      </c>
      <c r="H17" s="9" t="inlineStr">
        <is>
          <t>millions</t>
        </is>
      </c>
      <c r="I17" s="9" t="inlineStr">
        <is>
          <t>currency</t>
        </is>
      </c>
      <c r="J17" s="9" t="inlineStr">
        <is>
          <t>ZAR</t>
        </is>
      </c>
      <c r="K17" s="11" t="n"/>
      <c r="L17" s="11" t="n"/>
      <c r="M17" s="9" t="inlineStr">
        <is>
          <t>equity_accounted_profit</t>
        </is>
      </c>
      <c r="N17" s="9" t="inlineStr"/>
    </row>
    <row r="18">
      <c r="A18" s="9" t="n">
        <v>14</v>
      </c>
      <c r="B18" s="9" t="inlineStr">
        <is>
          <t>income_statement</t>
        </is>
      </c>
      <c r="C18" s="9" t="inlineStr">
        <is>
          <t>9</t>
        </is>
      </c>
      <c r="D18" s="9" t="inlineStr">
        <is>
          <t>Share of profit of equity accounted investments</t>
        </is>
      </c>
      <c r="E18" s="9" t="inlineStr">
        <is>
          <t>FY2024</t>
        </is>
      </c>
      <c r="F18" s="9" t="inlineStr">
        <is>
          <t>restated</t>
        </is>
      </c>
      <c r="G18" s="10" t="n">
        <v>268</v>
      </c>
      <c r="H18" s="9" t="inlineStr">
        <is>
          <t>millions</t>
        </is>
      </c>
      <c r="I18" s="9" t="inlineStr">
        <is>
          <t>currency</t>
        </is>
      </c>
      <c r="J18" s="9" t="inlineStr">
        <is>
          <t>ZAR</t>
        </is>
      </c>
      <c r="K18" s="11" t="n"/>
      <c r="L18" s="11" t="n"/>
      <c r="M18" s="9" t="inlineStr">
        <is>
          <t>equity_accounted_profit</t>
        </is>
      </c>
      <c r="N18" s="9" t="inlineStr">
        <is>
          <t>FY2024 comparative RESTATED for discontinued operations (note 45). Previously-reported figures on sheet Restatement_N45</t>
        </is>
      </c>
    </row>
    <row r="19">
      <c r="A19" s="9" t="n">
        <v>15</v>
      </c>
      <c r="B19" s="9" t="inlineStr">
        <is>
          <t>income_statement</t>
        </is>
      </c>
      <c r="C19" s="9" t="inlineStr">
        <is>
          <t>27</t>
        </is>
      </c>
      <c r="D19" s="9" t="inlineStr">
        <is>
          <t>Depreciation and amortisation</t>
        </is>
      </c>
      <c r="E19" s="9" t="inlineStr">
        <is>
          <t>FY2025</t>
        </is>
      </c>
      <c r="F19" s="9" t="inlineStr">
        <is>
          <t>as_reported</t>
        </is>
      </c>
      <c r="G19" s="10" t="n">
        <v>-8012</v>
      </c>
      <c r="H19" s="9" t="inlineStr">
        <is>
          <t>millions</t>
        </is>
      </c>
      <c r="I19" s="9" t="inlineStr">
        <is>
          <t>currency</t>
        </is>
      </c>
      <c r="J19" s="9" t="inlineStr">
        <is>
          <t>ZAR</t>
        </is>
      </c>
      <c r="K19" s="11" t="n"/>
      <c r="L19" s="11" t="n"/>
      <c r="M19" s="9" t="inlineStr">
        <is>
          <t>depreciation_amortisation</t>
        </is>
      </c>
      <c r="N19" s="9" t="inlineStr">
        <is>
          <t>Net of amount disclosed in cost of sales (note 27)</t>
        </is>
      </c>
    </row>
    <row r="20">
      <c r="A20" s="9" t="n">
        <v>16</v>
      </c>
      <c r="B20" s="9" t="inlineStr">
        <is>
          <t>income_statement</t>
        </is>
      </c>
      <c r="C20" s="9" t="inlineStr">
        <is>
          <t>27</t>
        </is>
      </c>
      <c r="D20" s="9" t="inlineStr">
        <is>
          <t>Depreciation and amortisation</t>
        </is>
      </c>
      <c r="E20" s="9" t="inlineStr">
        <is>
          <t>FY2024</t>
        </is>
      </c>
      <c r="F20" s="9" t="inlineStr">
        <is>
          <t>restated</t>
        </is>
      </c>
      <c r="G20" s="10" t="n">
        <v>-6845</v>
      </c>
      <c r="H20" s="9" t="inlineStr">
        <is>
          <t>millions</t>
        </is>
      </c>
      <c r="I20" s="9" t="inlineStr">
        <is>
          <t>currency</t>
        </is>
      </c>
      <c r="J20" s="9" t="inlineStr">
        <is>
          <t>ZAR</t>
        </is>
      </c>
      <c r="K20" s="11" t="n"/>
      <c r="L20" s="11" t="n"/>
      <c r="M20" s="9" t="inlineStr">
        <is>
          <t>depreciation_amortisation</t>
        </is>
      </c>
      <c r="N20" s="9" t="inlineStr">
        <is>
          <t>FY2024 comparative RESTATED for discontinued operations (note 45). Previously-reported figures on sheet Restatement_N45</t>
        </is>
      </c>
    </row>
    <row r="21">
      <c r="A21" s="9" t="n">
        <v>17</v>
      </c>
      <c r="B21" s="9" t="inlineStr">
        <is>
          <t>income_statement</t>
        </is>
      </c>
      <c r="C21" s="9" t="inlineStr">
        <is>
          <t>28</t>
        </is>
      </c>
      <c r="D21" s="9" t="inlineStr">
        <is>
          <t>Employee benefits</t>
        </is>
      </c>
      <c r="E21" s="9" t="inlineStr">
        <is>
          <t>FY2025</t>
        </is>
      </c>
      <c r="F21" s="9" t="inlineStr">
        <is>
          <t>as_reported</t>
        </is>
      </c>
      <c r="G21" s="10" t="n">
        <v>-20268</v>
      </c>
      <c r="H21" s="9" t="inlineStr">
        <is>
          <t>millions</t>
        </is>
      </c>
      <c r="I21" s="9" t="inlineStr">
        <is>
          <t>currency</t>
        </is>
      </c>
      <c r="J21" s="9" t="inlineStr">
        <is>
          <t>ZAR</t>
        </is>
      </c>
      <c r="K21" s="11" t="n"/>
      <c r="L21" s="11" t="n"/>
      <c r="M21" s="9" t="inlineStr">
        <is>
          <t>employee_benefits</t>
        </is>
      </c>
      <c r="N21" s="9" t="inlineStr">
        <is>
          <t>Net of amount disclosed in cost of sales (note 28)</t>
        </is>
      </c>
    </row>
    <row r="22">
      <c r="A22" s="9" t="n">
        <v>18</v>
      </c>
      <c r="B22" s="9" t="inlineStr">
        <is>
          <t>income_statement</t>
        </is>
      </c>
      <c r="C22" s="9" t="inlineStr">
        <is>
          <t>28</t>
        </is>
      </c>
      <c r="D22" s="9" t="inlineStr">
        <is>
          <t>Employee benefits</t>
        </is>
      </c>
      <c r="E22" s="9" t="inlineStr">
        <is>
          <t>FY2024</t>
        </is>
      </c>
      <c r="F22" s="9" t="inlineStr">
        <is>
          <t>restated</t>
        </is>
      </c>
      <c r="G22" s="10" t="n">
        <v>-18289</v>
      </c>
      <c r="H22" s="9" t="inlineStr">
        <is>
          <t>millions</t>
        </is>
      </c>
      <c r="I22" s="9" t="inlineStr">
        <is>
          <t>currency</t>
        </is>
      </c>
      <c r="J22" s="9" t="inlineStr">
        <is>
          <t>ZAR</t>
        </is>
      </c>
      <c r="K22" s="11" t="n"/>
      <c r="L22" s="11" t="n"/>
      <c r="M22" s="9" t="inlineStr">
        <is>
          <t>employee_benefits</t>
        </is>
      </c>
      <c r="N22" s="9" t="inlineStr">
        <is>
          <t>FY2024 comparative RESTATED for discontinued operations (note 45). Previously-reported figures on sheet Restatement_N45</t>
        </is>
      </c>
    </row>
    <row r="23">
      <c r="A23" s="9" t="n">
        <v>19</v>
      </c>
      <c r="B23" s="9" t="inlineStr">
        <is>
          <t>income_statement</t>
        </is>
      </c>
      <c r="C23" s="9" t="inlineStr">
        <is>
          <t>43.4.1</t>
        </is>
      </c>
      <c r="D23" s="9" t="inlineStr">
        <is>
          <t>Credit impairment losses</t>
        </is>
      </c>
      <c r="E23" s="9" t="inlineStr">
        <is>
          <t>FY2025</t>
        </is>
      </c>
      <c r="F23" s="9" t="inlineStr">
        <is>
          <t>as_reported</t>
        </is>
      </c>
      <c r="G23" s="10" t="n">
        <v>-76</v>
      </c>
      <c r="H23" s="9" t="inlineStr">
        <is>
          <t>millions</t>
        </is>
      </c>
      <c r="I23" s="9" t="inlineStr">
        <is>
          <t>currency</t>
        </is>
      </c>
      <c r="J23" s="9" t="inlineStr">
        <is>
          <t>ZAR</t>
        </is>
      </c>
      <c r="K23" s="11" t="n"/>
      <c r="L23" s="11" t="n"/>
      <c r="M23" s="9" t="inlineStr">
        <is>
          <t>credit_impairment_losses</t>
        </is>
      </c>
      <c r="N23" s="9" t="inlineStr"/>
    </row>
    <row r="24">
      <c r="A24" s="9" t="n">
        <v>20</v>
      </c>
      <c r="B24" s="9" t="inlineStr">
        <is>
          <t>income_statement</t>
        </is>
      </c>
      <c r="C24" s="9" t="inlineStr">
        <is>
          <t>43.4.1</t>
        </is>
      </c>
      <c r="D24" s="9" t="inlineStr">
        <is>
          <t>Credit impairment losses</t>
        </is>
      </c>
      <c r="E24" s="9" t="inlineStr">
        <is>
          <t>FY2024</t>
        </is>
      </c>
      <c r="F24" s="9" t="inlineStr">
        <is>
          <t>restated</t>
        </is>
      </c>
      <c r="G24" s="10" t="n">
        <v>-179</v>
      </c>
      <c r="H24" s="9" t="inlineStr">
        <is>
          <t>millions</t>
        </is>
      </c>
      <c r="I24" s="9" t="inlineStr">
        <is>
          <t>currency</t>
        </is>
      </c>
      <c r="J24" s="9" t="inlineStr">
        <is>
          <t>ZAR</t>
        </is>
      </c>
      <c r="K24" s="11" t="n"/>
      <c r="L24" s="11" t="n"/>
      <c r="M24" s="9" t="inlineStr">
        <is>
          <t>credit_impairment_losses</t>
        </is>
      </c>
      <c r="N24" s="9" t="inlineStr">
        <is>
          <t>FY2024 comparative RESTATED for discontinued operations (note 45). Previously-reported figures on sheet Restatement_N45</t>
        </is>
      </c>
    </row>
    <row r="25">
      <c r="A25" s="9" t="n">
        <v>21</v>
      </c>
      <c r="B25" s="9" t="inlineStr">
        <is>
          <t>income_statement</t>
        </is>
      </c>
      <c r="C25" s="9" t="inlineStr">
        <is>
          <t>30</t>
        </is>
      </c>
      <c r="D25" s="9" t="inlineStr">
        <is>
          <t>Other operating expenses</t>
        </is>
      </c>
      <c r="E25" s="9" t="inlineStr">
        <is>
          <t>FY2025</t>
        </is>
      </c>
      <c r="F25" s="9" t="inlineStr">
        <is>
          <t>as_reported</t>
        </is>
      </c>
      <c r="G25" s="10" t="n">
        <v>-22366</v>
      </c>
      <c r="H25" s="9" t="inlineStr">
        <is>
          <t>millions</t>
        </is>
      </c>
      <c r="I25" s="9" t="inlineStr">
        <is>
          <t>currency</t>
        </is>
      </c>
      <c r="J25" s="9" t="inlineStr">
        <is>
          <t>ZAR</t>
        </is>
      </c>
      <c r="K25" s="11" t="n"/>
      <c r="L25" s="11" t="n"/>
      <c r="M25" s="9" t="inlineStr">
        <is>
          <t>other_operating_expenses</t>
        </is>
      </c>
      <c r="N25" s="9" t="inlineStr">
        <is>
          <t>Net of amount disclosed in cost of sales (note 30)</t>
        </is>
      </c>
    </row>
    <row r="26">
      <c r="A26" s="9" t="n">
        <v>22</v>
      </c>
      <c r="B26" s="9" t="inlineStr">
        <is>
          <t>income_statement</t>
        </is>
      </c>
      <c r="C26" s="9" t="inlineStr">
        <is>
          <t>30</t>
        </is>
      </c>
      <c r="D26" s="9" t="inlineStr">
        <is>
          <t>Other operating expenses</t>
        </is>
      </c>
      <c r="E26" s="9" t="inlineStr">
        <is>
          <t>FY2024</t>
        </is>
      </c>
      <c r="F26" s="9" t="inlineStr">
        <is>
          <t>restated</t>
        </is>
      </c>
      <c r="G26" s="10" t="n">
        <v>-21916</v>
      </c>
      <c r="H26" s="9" t="inlineStr">
        <is>
          <t>millions</t>
        </is>
      </c>
      <c r="I26" s="9" t="inlineStr">
        <is>
          <t>currency</t>
        </is>
      </c>
      <c r="J26" s="9" t="inlineStr">
        <is>
          <t>ZAR</t>
        </is>
      </c>
      <c r="K26" s="11" t="n"/>
      <c r="L26" s="11" t="n"/>
      <c r="M26" s="9" t="inlineStr">
        <is>
          <t>other_operating_expenses</t>
        </is>
      </c>
      <c r="N26" s="9" t="inlineStr">
        <is>
          <t>FY2024 comparative RESTATED for discontinued operations (note 45). Previously-reported figures on sheet Restatement_N45</t>
        </is>
      </c>
    </row>
    <row r="27">
      <c r="A27" s="9" t="n">
        <v>23</v>
      </c>
      <c r="B27" s="9" t="inlineStr">
        <is>
          <t>income_statement</t>
        </is>
      </c>
      <c r="C27" s="9" t="inlineStr"/>
      <c r="D27" s="9" t="inlineStr">
        <is>
          <t>Trading profit</t>
        </is>
      </c>
      <c r="E27" s="9" t="inlineStr">
        <is>
          <t>FY2025</t>
        </is>
      </c>
      <c r="F27" s="9" t="inlineStr">
        <is>
          <t>as_reported</t>
        </is>
      </c>
      <c r="G27" s="10" t="n">
        <v>14951</v>
      </c>
      <c r="H27" s="9" t="inlineStr">
        <is>
          <t>millions</t>
        </is>
      </c>
      <c r="I27" s="9" t="inlineStr">
        <is>
          <t>currency</t>
        </is>
      </c>
      <c r="J27" s="9" t="inlineStr">
        <is>
          <t>ZAR</t>
        </is>
      </c>
      <c r="K27" s="11" t="n"/>
      <c r="L27" s="11" t="n"/>
      <c r="M27" s="9" t="inlineStr">
        <is>
          <t>trading_profit</t>
        </is>
      </c>
      <c r="N27" s="9" t="inlineStr">
        <is>
          <t>COMPANY-DEFINED measure, not IFRS. Defined in policy note 1.1.2(a). Heavily modelled by analysts</t>
        </is>
      </c>
    </row>
    <row r="28">
      <c r="A28" s="9" t="n">
        <v>24</v>
      </c>
      <c r="B28" s="9" t="inlineStr">
        <is>
          <t>income_statement</t>
        </is>
      </c>
      <c r="C28" s="9" t="inlineStr"/>
      <c r="D28" s="9" t="inlineStr">
        <is>
          <t>Trading profit</t>
        </is>
      </c>
      <c r="E28" s="9" t="inlineStr">
        <is>
          <t>FY2024</t>
        </is>
      </c>
      <c r="F28" s="9" t="inlineStr">
        <is>
          <t>restated</t>
        </is>
      </c>
      <c r="G28" s="10" t="n">
        <v>12818</v>
      </c>
      <c r="H28" s="9" t="inlineStr">
        <is>
          <t>millions</t>
        </is>
      </c>
      <c r="I28" s="9" t="inlineStr">
        <is>
          <t>currency</t>
        </is>
      </c>
      <c r="J28" s="9" t="inlineStr">
        <is>
          <t>ZAR</t>
        </is>
      </c>
      <c r="K28" s="11" t="n"/>
      <c r="L28" s="11" t="n"/>
      <c r="M28" s="9" t="inlineStr">
        <is>
          <t>trading_profit</t>
        </is>
      </c>
      <c r="N28" s="9" t="inlineStr">
        <is>
          <t>FY2024 comparative RESTATED for discontinued operations (note 45). Previously-reported figures on sheet Restatement_N45</t>
        </is>
      </c>
    </row>
    <row r="29">
      <c r="A29" s="9" t="n">
        <v>25</v>
      </c>
      <c r="B29" s="9" t="inlineStr">
        <is>
          <t>income_statement</t>
        </is>
      </c>
      <c r="C29" s="9" t="inlineStr"/>
      <c r="D29" s="9" t="inlineStr">
        <is>
          <t>Exchange rate (losses)/gains</t>
        </is>
      </c>
      <c r="E29" s="9" t="inlineStr">
        <is>
          <t>FY2025</t>
        </is>
      </c>
      <c r="F29" s="9" t="inlineStr">
        <is>
          <t>as_reported</t>
        </is>
      </c>
      <c r="G29" s="10" t="n">
        <v>-3</v>
      </c>
      <c r="H29" s="9" t="inlineStr">
        <is>
          <t>millions</t>
        </is>
      </c>
      <c r="I29" s="9" t="inlineStr">
        <is>
          <t>currency</t>
        </is>
      </c>
      <c r="J29" s="9" t="inlineStr">
        <is>
          <t>ZAR</t>
        </is>
      </c>
      <c r="K29" s="11" t="n"/>
      <c r="L29" s="11" t="n"/>
      <c r="M29" s="9" t="inlineStr">
        <is>
          <t>fx_gains_losses</t>
        </is>
      </c>
      <c r="N29" s="9" t="inlineStr"/>
    </row>
    <row r="30">
      <c r="A30" s="9" t="n">
        <v>26</v>
      </c>
      <c r="B30" s="9" t="inlineStr">
        <is>
          <t>income_statement</t>
        </is>
      </c>
      <c r="C30" s="9" t="inlineStr"/>
      <c r="D30" s="9" t="inlineStr">
        <is>
          <t>Exchange rate (losses)/gains</t>
        </is>
      </c>
      <c r="E30" s="9" t="inlineStr">
        <is>
          <t>FY2024</t>
        </is>
      </c>
      <c r="F30" s="9" t="inlineStr">
        <is>
          <t>restated</t>
        </is>
      </c>
      <c r="G30" s="10" t="n">
        <v>27</v>
      </c>
      <c r="H30" s="9" t="inlineStr">
        <is>
          <t>millions</t>
        </is>
      </c>
      <c r="I30" s="9" t="inlineStr">
        <is>
          <t>currency</t>
        </is>
      </c>
      <c r="J30" s="9" t="inlineStr">
        <is>
          <t>ZAR</t>
        </is>
      </c>
      <c r="K30" s="11" t="n"/>
      <c r="L30" s="11" t="n"/>
      <c r="M30" s="9" t="inlineStr">
        <is>
          <t>fx_gains_losses</t>
        </is>
      </c>
      <c r="N30" s="9" t="inlineStr">
        <is>
          <t>FY2024 comparative RESTATED for discontinued operations (note 45). Previously-reported figures on sheet Restatement_N45</t>
        </is>
      </c>
    </row>
    <row r="31">
      <c r="A31" s="9" t="n">
        <v>27</v>
      </c>
      <c r="B31" s="9" t="inlineStr">
        <is>
          <t>income_statement</t>
        </is>
      </c>
      <c r="C31" s="9" t="inlineStr"/>
      <c r="D31" s="9" t="inlineStr">
        <is>
          <t>Profit on lease modifications and terminations</t>
        </is>
      </c>
      <c r="E31" s="9" t="inlineStr">
        <is>
          <t>FY2025</t>
        </is>
      </c>
      <c r="F31" s="9" t="inlineStr">
        <is>
          <t>as_reported</t>
        </is>
      </c>
      <c r="G31" s="10" t="n">
        <v>95</v>
      </c>
      <c r="H31" s="9" t="inlineStr">
        <is>
          <t>millions</t>
        </is>
      </c>
      <c r="I31" s="9" t="inlineStr">
        <is>
          <t>currency</t>
        </is>
      </c>
      <c r="J31" s="9" t="inlineStr">
        <is>
          <t>ZAR</t>
        </is>
      </c>
      <c r="K31" s="11" t="n"/>
      <c r="L31" s="11" t="n"/>
      <c r="M31" s="9" t="inlineStr">
        <is>
          <t>lease_modification_profit</t>
        </is>
      </c>
      <c r="N31" s="9" t="inlineStr"/>
    </row>
    <row r="32">
      <c r="A32" s="9" t="n">
        <v>28</v>
      </c>
      <c r="B32" s="9" t="inlineStr">
        <is>
          <t>income_statement</t>
        </is>
      </c>
      <c r="C32" s="9" t="inlineStr"/>
      <c r="D32" s="9" t="inlineStr">
        <is>
          <t>Profit on lease modifications and terminations</t>
        </is>
      </c>
      <c r="E32" s="9" t="inlineStr">
        <is>
          <t>FY2024</t>
        </is>
      </c>
      <c r="F32" s="9" t="inlineStr">
        <is>
          <t>restated</t>
        </is>
      </c>
      <c r="G32" s="10" t="n">
        <v>96</v>
      </c>
      <c r="H32" s="9" t="inlineStr">
        <is>
          <t>millions</t>
        </is>
      </c>
      <c r="I32" s="9" t="inlineStr">
        <is>
          <t>currency</t>
        </is>
      </c>
      <c r="J32" s="9" t="inlineStr">
        <is>
          <t>ZAR</t>
        </is>
      </c>
      <c r="K32" s="11" t="n"/>
      <c r="L32" s="11" t="n"/>
      <c r="M32" s="9" t="inlineStr">
        <is>
          <t>lease_modification_profit</t>
        </is>
      </c>
      <c r="N32" s="9" t="inlineStr">
        <is>
          <t>FY2024 comparative RESTATED for discontinued operations (note 45). Previously-reported figures on sheet Restatement_N45</t>
        </is>
      </c>
    </row>
    <row r="33">
      <c r="A33" s="9" t="n">
        <v>29</v>
      </c>
      <c r="B33" s="9" t="inlineStr">
        <is>
          <t>income_statement</t>
        </is>
      </c>
      <c r="C33" s="9" t="inlineStr">
        <is>
          <t>31</t>
        </is>
      </c>
      <c r="D33" s="9" t="inlineStr">
        <is>
          <t>Items of a capital nature</t>
        </is>
      </c>
      <c r="E33" s="9" t="inlineStr">
        <is>
          <t>FY2025</t>
        </is>
      </c>
      <c r="F33" s="9" t="inlineStr">
        <is>
          <t>as_reported</t>
        </is>
      </c>
      <c r="G33" s="10" t="n">
        <v>-100</v>
      </c>
      <c r="H33" s="9" t="inlineStr">
        <is>
          <t>millions</t>
        </is>
      </c>
      <c r="I33" s="9" t="inlineStr">
        <is>
          <t>currency</t>
        </is>
      </c>
      <c r="J33" s="9" t="inlineStr">
        <is>
          <t>ZAR</t>
        </is>
      </c>
      <c r="K33" s="11" t="n"/>
      <c r="L33" s="11" t="n"/>
      <c r="M33" s="9" t="inlineStr">
        <is>
          <t>items_of_capital_nature</t>
        </is>
      </c>
      <c r="N33" s="9" t="inlineStr">
        <is>
          <t>COMPANY-DEFINED, per SAICA Circular 1/2023 - same circular that governs HEPS</t>
        </is>
      </c>
    </row>
    <row r="34">
      <c r="A34" s="9" t="n">
        <v>30</v>
      </c>
      <c r="B34" s="9" t="inlineStr">
        <is>
          <t>income_statement</t>
        </is>
      </c>
      <c r="C34" s="9" t="inlineStr">
        <is>
          <t>31</t>
        </is>
      </c>
      <c r="D34" s="9" t="inlineStr">
        <is>
          <t>Items of a capital nature</t>
        </is>
      </c>
      <c r="E34" s="9" t="inlineStr">
        <is>
          <t>FY2024</t>
        </is>
      </c>
      <c r="F34" s="9" t="inlineStr">
        <is>
          <t>restated</t>
        </is>
      </c>
      <c r="G34" s="10" t="n">
        <v>-279</v>
      </c>
      <c r="H34" s="9" t="inlineStr">
        <is>
          <t>millions</t>
        </is>
      </c>
      <c r="I34" s="9" t="inlineStr">
        <is>
          <t>currency</t>
        </is>
      </c>
      <c r="J34" s="9" t="inlineStr">
        <is>
          <t>ZAR</t>
        </is>
      </c>
      <c r="K34" s="11" t="n"/>
      <c r="L34" s="11" t="n"/>
      <c r="M34" s="9" t="inlineStr">
        <is>
          <t>items_of_capital_nature</t>
        </is>
      </c>
      <c r="N34" s="9" t="inlineStr">
        <is>
          <t>FY2024 comparative RESTATED for discontinued operations (note 45). Previously-reported figures on sheet Restatement_N45</t>
        </is>
      </c>
    </row>
    <row r="35">
      <c r="A35" s="9" t="n">
        <v>31</v>
      </c>
      <c r="B35" s="9" t="inlineStr">
        <is>
          <t>income_statement</t>
        </is>
      </c>
      <c r="C35" s="9" t="inlineStr">
        <is>
          <t>32</t>
        </is>
      </c>
      <c r="D35" s="9" t="inlineStr">
        <is>
          <t>Operating profit</t>
        </is>
      </c>
      <c r="E35" s="9" t="inlineStr">
        <is>
          <t>FY2025</t>
        </is>
      </c>
      <c r="F35" s="9" t="inlineStr">
        <is>
          <t>as_reported</t>
        </is>
      </c>
      <c r="G35" s="10" t="n">
        <v>14943</v>
      </c>
      <c r="H35" s="9" t="inlineStr">
        <is>
          <t>millions</t>
        </is>
      </c>
      <c r="I35" s="9" t="inlineStr">
        <is>
          <t>currency</t>
        </is>
      </c>
      <c r="J35" s="9" t="inlineStr">
        <is>
          <t>ZAR</t>
        </is>
      </c>
      <c r="K35" s="11" t="n"/>
      <c r="L35" s="11" t="n"/>
      <c r="M35" s="9" t="inlineStr">
        <is>
          <t>operating_profit</t>
        </is>
      </c>
      <c r="N35" s="9" t="inlineStr"/>
    </row>
    <row r="36">
      <c r="A36" s="9" t="n">
        <v>32</v>
      </c>
      <c r="B36" s="9" t="inlineStr">
        <is>
          <t>income_statement</t>
        </is>
      </c>
      <c r="C36" s="9" t="inlineStr">
        <is>
          <t>32</t>
        </is>
      </c>
      <c r="D36" s="9" t="inlineStr">
        <is>
          <t>Operating profit</t>
        </is>
      </c>
      <c r="E36" s="9" t="inlineStr">
        <is>
          <t>FY2024</t>
        </is>
      </c>
      <c r="F36" s="9" t="inlineStr">
        <is>
          <t>restated</t>
        </is>
      </c>
      <c r="G36" s="10" t="n">
        <v>12662</v>
      </c>
      <c r="H36" s="9" t="inlineStr">
        <is>
          <t>millions</t>
        </is>
      </c>
      <c r="I36" s="9" t="inlineStr">
        <is>
          <t>currency</t>
        </is>
      </c>
      <c r="J36" s="9" t="inlineStr">
        <is>
          <t>ZAR</t>
        </is>
      </c>
      <c r="K36" s="11" t="n"/>
      <c r="L36" s="11" t="n"/>
      <c r="M36" s="9" t="inlineStr">
        <is>
          <t>operating_profit</t>
        </is>
      </c>
      <c r="N36" s="9" t="inlineStr">
        <is>
          <t>FY2024 comparative RESTATED for discontinued operations (note 45). Previously-reported figures on sheet Restatement_N45</t>
        </is>
      </c>
    </row>
    <row r="37">
      <c r="A37" s="9" t="n">
        <v>33</v>
      </c>
      <c r="B37" s="9" t="inlineStr">
        <is>
          <t>income_statement</t>
        </is>
      </c>
      <c r="C37" s="9" t="inlineStr"/>
      <c r="D37" s="9" t="inlineStr">
        <is>
          <t>Interest received from bank account balances</t>
        </is>
      </c>
      <c r="E37" s="9" t="inlineStr">
        <is>
          <t>FY2025</t>
        </is>
      </c>
      <c r="F37" s="9" t="inlineStr">
        <is>
          <t>as_reported</t>
        </is>
      </c>
      <c r="G37" s="10" t="n">
        <v>357</v>
      </c>
      <c r="H37" s="9" t="inlineStr">
        <is>
          <t>millions</t>
        </is>
      </c>
      <c r="I37" s="9" t="inlineStr">
        <is>
          <t>currency</t>
        </is>
      </c>
      <c r="J37" s="9" t="inlineStr">
        <is>
          <t>ZAR</t>
        </is>
      </c>
      <c r="K37" s="11" t="n"/>
      <c r="L37" s="11" t="n"/>
      <c r="M37" s="9" t="inlineStr">
        <is>
          <t>interest_received_bank</t>
        </is>
      </c>
      <c r="N37" s="9" t="inlineStr">
        <is>
          <t>Company-defined: call and operating bank balances only (policy 1.1.2(c))</t>
        </is>
      </c>
    </row>
    <row r="38">
      <c r="A38" s="9" t="n">
        <v>34</v>
      </c>
      <c r="B38" s="9" t="inlineStr">
        <is>
          <t>income_statement</t>
        </is>
      </c>
      <c r="C38" s="9" t="inlineStr"/>
      <c r="D38" s="9" t="inlineStr">
        <is>
          <t>Interest received from bank account balances</t>
        </is>
      </c>
      <c r="E38" s="9" t="inlineStr">
        <is>
          <t>FY2024</t>
        </is>
      </c>
      <c r="F38" s="9" t="inlineStr">
        <is>
          <t>restated</t>
        </is>
      </c>
      <c r="G38" s="10" t="n">
        <v>517</v>
      </c>
      <c r="H38" s="9" t="inlineStr">
        <is>
          <t>millions</t>
        </is>
      </c>
      <c r="I38" s="9" t="inlineStr">
        <is>
          <t>currency</t>
        </is>
      </c>
      <c r="J38" s="9" t="inlineStr">
        <is>
          <t>ZAR</t>
        </is>
      </c>
      <c r="K38" s="11" t="n"/>
      <c r="L38" s="11" t="n"/>
      <c r="M38" s="9" t="inlineStr">
        <is>
          <t>interest_received_bank</t>
        </is>
      </c>
      <c r="N38" s="9" t="inlineStr">
        <is>
          <t>FY2024 comparative RESTATED for discontinued operations (note 45). Previously-reported figures on sheet Restatement_N45</t>
        </is>
      </c>
    </row>
    <row r="39">
      <c r="A39" s="9" t="n">
        <v>35</v>
      </c>
      <c r="B39" s="9" t="inlineStr">
        <is>
          <t>income_statement</t>
        </is>
      </c>
      <c r="C39" s="9" t="inlineStr">
        <is>
          <t>33</t>
        </is>
      </c>
      <c r="D39" s="9" t="inlineStr">
        <is>
          <t>Finance costs</t>
        </is>
      </c>
      <c r="E39" s="9" t="inlineStr">
        <is>
          <t>FY2025</t>
        </is>
      </c>
      <c r="F39" s="9" t="inlineStr">
        <is>
          <t>as_reported</t>
        </is>
      </c>
      <c r="G39" s="10" t="n">
        <v>-5115</v>
      </c>
      <c r="H39" s="9" t="inlineStr">
        <is>
          <t>millions</t>
        </is>
      </c>
      <c r="I39" s="9" t="inlineStr">
        <is>
          <t>currency</t>
        </is>
      </c>
      <c r="J39" s="9" t="inlineStr">
        <is>
          <t>ZAR</t>
        </is>
      </c>
      <c r="K39" s="11" t="n"/>
      <c r="L39" s="11" t="n"/>
      <c r="M39" s="9" t="inlineStr">
        <is>
          <t>finance_costs</t>
        </is>
      </c>
      <c r="N39" s="9" t="inlineStr"/>
    </row>
    <row r="40">
      <c r="A40" s="9" t="n">
        <v>36</v>
      </c>
      <c r="B40" s="9" t="inlineStr">
        <is>
          <t>income_statement</t>
        </is>
      </c>
      <c r="C40" s="9" t="inlineStr">
        <is>
          <t>33</t>
        </is>
      </c>
      <c r="D40" s="9" t="inlineStr">
        <is>
          <t>Finance costs</t>
        </is>
      </c>
      <c r="E40" s="9" t="inlineStr">
        <is>
          <t>FY2024</t>
        </is>
      </c>
      <c r="F40" s="9" t="inlineStr">
        <is>
          <t>restated</t>
        </is>
      </c>
      <c r="G40" s="10" t="n">
        <v>-4153</v>
      </c>
      <c r="H40" s="9" t="inlineStr">
        <is>
          <t>millions</t>
        </is>
      </c>
      <c r="I40" s="9" t="inlineStr">
        <is>
          <t>currency</t>
        </is>
      </c>
      <c r="J40" s="9" t="inlineStr">
        <is>
          <t>ZAR</t>
        </is>
      </c>
      <c r="K40" s="11" t="n"/>
      <c r="L40" s="11" t="n"/>
      <c r="M40" s="9" t="inlineStr">
        <is>
          <t>finance_costs</t>
        </is>
      </c>
      <c r="N40" s="9" t="inlineStr">
        <is>
          <t>FY2024 comparative RESTATED for discontinued operations (note 45). Previously-reported figures on sheet Restatement_N45</t>
        </is>
      </c>
    </row>
    <row r="41">
      <c r="A41" s="9" t="n">
        <v>37</v>
      </c>
      <c r="B41" s="9" t="inlineStr">
        <is>
          <t>income_statement</t>
        </is>
      </c>
      <c r="C41" s="9" t="inlineStr"/>
      <c r="D41" s="9" t="inlineStr">
        <is>
          <t>Profit before income tax</t>
        </is>
      </c>
      <c r="E41" s="9" t="inlineStr">
        <is>
          <t>FY2025</t>
        </is>
      </c>
      <c r="F41" s="9" t="inlineStr">
        <is>
          <t>as_reported</t>
        </is>
      </c>
      <c r="G41" s="10" t="n">
        <v>10185</v>
      </c>
      <c r="H41" s="9" t="inlineStr">
        <is>
          <t>millions</t>
        </is>
      </c>
      <c r="I41" s="9" t="inlineStr">
        <is>
          <t>currency</t>
        </is>
      </c>
      <c r="J41" s="9" t="inlineStr">
        <is>
          <t>ZAR</t>
        </is>
      </c>
      <c r="K41" s="11" t="n"/>
      <c r="L41" s="11" t="n"/>
      <c r="M41" s="9" t="inlineStr">
        <is>
          <t>profit_before_tax</t>
        </is>
      </c>
      <c r="N41" s="9" t="inlineStr"/>
    </row>
    <row r="42">
      <c r="A42" s="9" t="n">
        <v>38</v>
      </c>
      <c r="B42" s="9" t="inlineStr">
        <is>
          <t>income_statement</t>
        </is>
      </c>
      <c r="C42" s="9" t="inlineStr"/>
      <c r="D42" s="9" t="inlineStr">
        <is>
          <t>Profit before income tax</t>
        </is>
      </c>
      <c r="E42" s="9" t="inlineStr">
        <is>
          <t>FY2024</t>
        </is>
      </c>
      <c r="F42" s="9" t="inlineStr">
        <is>
          <t>restated</t>
        </is>
      </c>
      <c r="G42" s="10" t="n">
        <v>9026</v>
      </c>
      <c r="H42" s="9" t="inlineStr">
        <is>
          <t>millions</t>
        </is>
      </c>
      <c r="I42" s="9" t="inlineStr">
        <is>
          <t>currency</t>
        </is>
      </c>
      <c r="J42" s="9" t="inlineStr">
        <is>
          <t>ZAR</t>
        </is>
      </c>
      <c r="K42" s="11" t="n"/>
      <c r="L42" s="11" t="n"/>
      <c r="M42" s="9" t="inlineStr">
        <is>
          <t>profit_before_tax</t>
        </is>
      </c>
      <c r="N42" s="9" t="inlineStr">
        <is>
          <t>FY2024 comparative RESTATED for discontinued operations (note 45). Previously-reported figures on sheet Restatement_N45</t>
        </is>
      </c>
    </row>
    <row r="43">
      <c r="A43" s="9" t="n">
        <v>39</v>
      </c>
      <c r="B43" s="9" t="inlineStr">
        <is>
          <t>income_statement</t>
        </is>
      </c>
      <c r="C43" s="9" t="inlineStr">
        <is>
          <t>34</t>
        </is>
      </c>
      <c r="D43" s="9" t="inlineStr">
        <is>
          <t>Income tax expense</t>
        </is>
      </c>
      <c r="E43" s="9" t="inlineStr">
        <is>
          <t>FY2025</t>
        </is>
      </c>
      <c r="F43" s="9" t="inlineStr">
        <is>
          <t>as_reported</t>
        </is>
      </c>
      <c r="G43" s="10" t="n">
        <v>-2793</v>
      </c>
      <c r="H43" s="9" t="inlineStr">
        <is>
          <t>millions</t>
        </is>
      </c>
      <c r="I43" s="9" t="inlineStr">
        <is>
          <t>currency</t>
        </is>
      </c>
      <c r="J43" s="9" t="inlineStr">
        <is>
          <t>ZAR</t>
        </is>
      </c>
      <c r="K43" s="11" t="n"/>
      <c r="L43" s="11" t="n"/>
      <c r="M43" s="9" t="inlineStr">
        <is>
          <t>income_tax_expense</t>
        </is>
      </c>
      <c r="N43" s="9" t="inlineStr"/>
    </row>
    <row r="44">
      <c r="A44" s="9" t="n">
        <v>40</v>
      </c>
      <c r="B44" s="9" t="inlineStr">
        <is>
          <t>income_statement</t>
        </is>
      </c>
      <c r="C44" s="9" t="inlineStr">
        <is>
          <t>34</t>
        </is>
      </c>
      <c r="D44" s="9" t="inlineStr">
        <is>
          <t>Income tax expense</t>
        </is>
      </c>
      <c r="E44" s="9" t="inlineStr">
        <is>
          <t>FY2024</t>
        </is>
      </c>
      <c r="F44" s="9" t="inlineStr">
        <is>
          <t>restated</t>
        </is>
      </c>
      <c r="G44" s="10" t="n">
        <v>-2805</v>
      </c>
      <c r="H44" s="9" t="inlineStr">
        <is>
          <t>millions</t>
        </is>
      </c>
      <c r="I44" s="9" t="inlineStr">
        <is>
          <t>currency</t>
        </is>
      </c>
      <c r="J44" s="9" t="inlineStr">
        <is>
          <t>ZAR</t>
        </is>
      </c>
      <c r="K44" s="11" t="n"/>
      <c r="L44" s="11" t="n"/>
      <c r="M44" s="9" t="inlineStr">
        <is>
          <t>income_tax_expense</t>
        </is>
      </c>
      <c r="N44" s="9" t="inlineStr">
        <is>
          <t>FY2024 comparative RESTATED for discontinued operations (note 45). Previously-reported figures on sheet Restatement_N45</t>
        </is>
      </c>
    </row>
    <row r="45">
      <c r="A45" s="9" t="n">
        <v>41</v>
      </c>
      <c r="B45" s="9" t="inlineStr">
        <is>
          <t>income_statement</t>
        </is>
      </c>
      <c r="C45" s="9" t="inlineStr"/>
      <c r="D45" s="9" t="inlineStr">
        <is>
          <t>Profit from continuing operations</t>
        </is>
      </c>
      <c r="E45" s="9" t="inlineStr">
        <is>
          <t>FY2025</t>
        </is>
      </c>
      <c r="F45" s="9" t="inlineStr">
        <is>
          <t>as_reported</t>
        </is>
      </c>
      <c r="G45" s="10" t="n">
        <v>7392</v>
      </c>
      <c r="H45" s="9" t="inlineStr">
        <is>
          <t>millions</t>
        </is>
      </c>
      <c r="I45" s="9" t="inlineStr">
        <is>
          <t>currency</t>
        </is>
      </c>
      <c r="J45" s="9" t="inlineStr">
        <is>
          <t>ZAR</t>
        </is>
      </c>
      <c r="K45" s="11" t="n"/>
      <c r="L45" s="11" t="n"/>
      <c r="M45" s="9" t="inlineStr">
        <is>
          <t>profit_continuing_operations</t>
        </is>
      </c>
      <c r="N45" s="9" t="inlineStr"/>
    </row>
    <row r="46">
      <c r="A46" s="9" t="n">
        <v>42</v>
      </c>
      <c r="B46" s="9" t="inlineStr">
        <is>
          <t>income_statement</t>
        </is>
      </c>
      <c r="C46" s="9" t="inlineStr"/>
      <c r="D46" s="9" t="inlineStr">
        <is>
          <t>Profit from continuing operations</t>
        </is>
      </c>
      <c r="E46" s="9" t="inlineStr">
        <is>
          <t>FY2024</t>
        </is>
      </c>
      <c r="F46" s="9" t="inlineStr">
        <is>
          <t>restated</t>
        </is>
      </c>
      <c r="G46" s="10" t="n">
        <v>6221</v>
      </c>
      <c r="H46" s="9" t="inlineStr">
        <is>
          <t>millions</t>
        </is>
      </c>
      <c r="I46" s="9" t="inlineStr">
        <is>
          <t>currency</t>
        </is>
      </c>
      <c r="J46" s="9" t="inlineStr">
        <is>
          <t>ZAR</t>
        </is>
      </c>
      <c r="K46" s="11" t="n"/>
      <c r="L46" s="11" t="n"/>
      <c r="M46" s="9" t="inlineStr">
        <is>
          <t>profit_continuing_operations</t>
        </is>
      </c>
      <c r="N46" s="9" t="inlineStr">
        <is>
          <t>FY2024 comparative RESTATED for discontinued operations (note 45). Previously-reported figures on sheet Restatement_N45</t>
        </is>
      </c>
    </row>
    <row r="47">
      <c r="A47" s="9" t="n">
        <v>43</v>
      </c>
      <c r="B47" s="9" t="inlineStr">
        <is>
          <t>income_statement</t>
        </is>
      </c>
      <c r="C47" s="9" t="inlineStr">
        <is>
          <t>35</t>
        </is>
      </c>
      <c r="D47" s="9" t="inlineStr">
        <is>
          <t>Profit from discontinued operations</t>
        </is>
      </c>
      <c r="E47" s="9" t="inlineStr">
        <is>
          <t>FY2025</t>
        </is>
      </c>
      <c r="F47" s="9" t="inlineStr">
        <is>
          <t>as_reported</t>
        </is>
      </c>
      <c r="G47" s="10" t="n">
        <v>191</v>
      </c>
      <c r="H47" s="9" t="inlineStr">
        <is>
          <t>millions</t>
        </is>
      </c>
      <c r="I47" s="9" t="inlineStr">
        <is>
          <t>currency</t>
        </is>
      </c>
      <c r="J47" s="9" t="inlineStr">
        <is>
          <t>ZAR</t>
        </is>
      </c>
      <c r="K47" s="11" t="n"/>
      <c r="L47" s="11" t="n"/>
      <c r="M47" s="9" t="inlineStr">
        <is>
          <t>profit_discontinued_operations</t>
        </is>
      </c>
      <c r="N47" s="9" t="inlineStr">
        <is>
          <t>2024 printed as em-dash = nil, NOT missing</t>
        </is>
      </c>
    </row>
    <row r="48">
      <c r="A48" s="9" t="n">
        <v>44</v>
      </c>
      <c r="B48" s="9" t="inlineStr">
        <is>
          <t>income_statement</t>
        </is>
      </c>
      <c r="C48" s="9" t="inlineStr">
        <is>
          <t>35</t>
        </is>
      </c>
      <c r="D48" s="9" t="inlineStr">
        <is>
          <t>Profit from discontinued operations</t>
        </is>
      </c>
      <c r="E48" s="9" t="inlineStr">
        <is>
          <t>FY2024</t>
        </is>
      </c>
      <c r="F48" s="9" t="inlineStr">
        <is>
          <t>restated</t>
        </is>
      </c>
      <c r="G48" s="10" t="n">
        <v>0</v>
      </c>
      <c r="H48" s="9" t="inlineStr">
        <is>
          <t>millions</t>
        </is>
      </c>
      <c r="I48" s="9" t="inlineStr">
        <is>
          <t>currency</t>
        </is>
      </c>
      <c r="J48" s="9" t="inlineStr">
        <is>
          <t>ZAR</t>
        </is>
      </c>
      <c r="K48" s="11" t="n"/>
      <c r="L48" s="11" t="n"/>
      <c r="M48" s="9" t="inlineStr">
        <is>
          <t>profit_discontinued_operations</t>
        </is>
      </c>
      <c r="N48" s="9" t="inlineStr">
        <is>
          <t>FY2024 comparative RESTATED for discontinued operations (note 45). Previously-reported figures on sheet Restatement_N45</t>
        </is>
      </c>
    </row>
    <row r="49">
      <c r="A49" s="9" t="n">
        <v>45</v>
      </c>
      <c r="B49" s="9" t="inlineStr">
        <is>
          <t>income_statement</t>
        </is>
      </c>
      <c r="C49" s="9" t="inlineStr"/>
      <c r="D49" s="9" t="inlineStr">
        <is>
          <t>Profit for the year</t>
        </is>
      </c>
      <c r="E49" s="9" t="inlineStr">
        <is>
          <t>FY2025</t>
        </is>
      </c>
      <c r="F49" s="9" t="inlineStr">
        <is>
          <t>as_reported</t>
        </is>
      </c>
      <c r="G49" s="10" t="n">
        <v>7583</v>
      </c>
      <c r="H49" s="9" t="inlineStr">
        <is>
          <t>millions</t>
        </is>
      </c>
      <c r="I49" s="9" t="inlineStr">
        <is>
          <t>currency</t>
        </is>
      </c>
      <c r="J49" s="9" t="inlineStr">
        <is>
          <t>ZAR</t>
        </is>
      </c>
      <c r="K49" s="11" t="n"/>
      <c r="L49" s="11" t="n"/>
      <c r="M49" s="9" t="inlineStr">
        <is>
          <t>profit_for_period</t>
        </is>
      </c>
      <c r="N49" s="9" t="inlineStr"/>
    </row>
    <row r="50">
      <c r="A50" s="9" t="n">
        <v>46</v>
      </c>
      <c r="B50" s="9" t="inlineStr">
        <is>
          <t>income_statement</t>
        </is>
      </c>
      <c r="C50" s="9" t="inlineStr"/>
      <c r="D50" s="9" t="inlineStr">
        <is>
          <t>Profit for the year</t>
        </is>
      </c>
      <c r="E50" s="9" t="inlineStr">
        <is>
          <t>FY2024</t>
        </is>
      </c>
      <c r="F50" s="9" t="inlineStr">
        <is>
          <t>restated</t>
        </is>
      </c>
      <c r="G50" s="10" t="n">
        <v>6221</v>
      </c>
      <c r="H50" s="9" t="inlineStr">
        <is>
          <t>millions</t>
        </is>
      </c>
      <c r="I50" s="9" t="inlineStr">
        <is>
          <t>currency</t>
        </is>
      </c>
      <c r="J50" s="9" t="inlineStr">
        <is>
          <t>ZAR</t>
        </is>
      </c>
      <c r="K50" s="11" t="n"/>
      <c r="L50" s="11" t="n"/>
      <c r="M50" s="9" t="inlineStr">
        <is>
          <t>profit_for_period</t>
        </is>
      </c>
      <c r="N50" s="9" t="inlineStr">
        <is>
          <t>FY2024 comparative RESTATED for discontinued operations (note 45). Previously-reported figures on sheet Restatement_N45</t>
        </is>
      </c>
    </row>
    <row r="51">
      <c r="A51" s="9" t="n">
        <v>47</v>
      </c>
      <c r="B51" s="9" t="inlineStr">
        <is>
          <t>income_statement</t>
        </is>
      </c>
      <c r="C51" s="9" t="inlineStr"/>
      <c r="D51" s="9" t="inlineStr">
        <is>
          <t>Profit attributable to owners of the parent</t>
        </is>
      </c>
      <c r="E51" s="9" t="inlineStr">
        <is>
          <t>FY2025</t>
        </is>
      </c>
      <c r="F51" s="9" t="inlineStr">
        <is>
          <t>as_reported</t>
        </is>
      </c>
      <c r="G51" s="10" t="n">
        <v>7585</v>
      </c>
      <c r="H51" s="9" t="inlineStr">
        <is>
          <t>millions</t>
        </is>
      </c>
      <c r="I51" s="9" t="inlineStr">
        <is>
          <t>currency</t>
        </is>
      </c>
      <c r="J51" s="9" t="inlineStr">
        <is>
          <t>ZAR</t>
        </is>
      </c>
      <c r="K51" s="11" t="n"/>
      <c r="L51" s="11" t="n"/>
      <c r="M51" s="9" t="inlineStr">
        <is>
          <t>profit_attributable_owners</t>
        </is>
      </c>
      <c r="N51" s="9" t="inlineStr">
        <is>
          <t>Used as numerator in EPS and starting point of HEPS reconciliation</t>
        </is>
      </c>
    </row>
    <row r="52">
      <c r="A52" s="9" t="n">
        <v>48</v>
      </c>
      <c r="B52" s="9" t="inlineStr">
        <is>
          <t>income_statement</t>
        </is>
      </c>
      <c r="C52" s="9" t="inlineStr"/>
      <c r="D52" s="9" t="inlineStr">
        <is>
          <t>Profit attributable to owners of the parent</t>
        </is>
      </c>
      <c r="E52" s="9" t="inlineStr">
        <is>
          <t>FY2024</t>
        </is>
      </c>
      <c r="F52" s="9" t="inlineStr">
        <is>
          <t>restated</t>
        </is>
      </c>
      <c r="G52" s="10" t="n">
        <v>6248</v>
      </c>
      <c r="H52" s="9" t="inlineStr">
        <is>
          <t>millions</t>
        </is>
      </c>
      <c r="I52" s="9" t="inlineStr">
        <is>
          <t>currency</t>
        </is>
      </c>
      <c r="J52" s="9" t="inlineStr">
        <is>
          <t>ZAR</t>
        </is>
      </c>
      <c r="K52" s="11" t="n"/>
      <c r="L52" s="11" t="n"/>
      <c r="M52" s="9" t="inlineStr">
        <is>
          <t>profit_attributable_owners</t>
        </is>
      </c>
      <c r="N52" s="9" t="inlineStr">
        <is>
          <t>FY2024 comparative RESTATED for discontinued operations (note 45). Previously-reported figures on sheet Restatement_N45</t>
        </is>
      </c>
    </row>
    <row r="53">
      <c r="A53" s="9" t="n">
        <v>49</v>
      </c>
      <c r="B53" s="9" t="inlineStr">
        <is>
          <t>income_statement</t>
        </is>
      </c>
      <c r="C53" s="9" t="inlineStr"/>
      <c r="D53" s="9" t="inlineStr">
        <is>
          <t>Profit attributable to non-controlling interest</t>
        </is>
      </c>
      <c r="E53" s="9" t="inlineStr">
        <is>
          <t>FY2025</t>
        </is>
      </c>
      <c r="F53" s="9" t="inlineStr">
        <is>
          <t>as_reported</t>
        </is>
      </c>
      <c r="G53" s="10" t="n">
        <v>-2</v>
      </c>
      <c r="H53" s="9" t="inlineStr">
        <is>
          <t>millions</t>
        </is>
      </c>
      <c r="I53" s="9" t="inlineStr">
        <is>
          <t>currency</t>
        </is>
      </c>
      <c r="J53" s="9" t="inlineStr">
        <is>
          <t>ZAR</t>
        </is>
      </c>
      <c r="K53" s="11" t="n"/>
      <c r="L53" s="11" t="n"/>
      <c r="M53" s="9" t="inlineStr">
        <is>
          <t>profit_attributable_nci</t>
        </is>
      </c>
      <c r="N53" s="9" t="inlineStr"/>
    </row>
    <row r="54">
      <c r="A54" s="9" t="n">
        <v>50</v>
      </c>
      <c r="B54" s="9" t="inlineStr">
        <is>
          <t>income_statement</t>
        </is>
      </c>
      <c r="C54" s="9" t="inlineStr"/>
      <c r="D54" s="9" t="inlineStr">
        <is>
          <t>Profit attributable to non-controlling interest</t>
        </is>
      </c>
      <c r="E54" s="9" t="inlineStr">
        <is>
          <t>FY2024</t>
        </is>
      </c>
      <c r="F54" s="9" t="inlineStr">
        <is>
          <t>restated</t>
        </is>
      </c>
      <c r="G54" s="10" t="n">
        <v>-27</v>
      </c>
      <c r="H54" s="9" t="inlineStr">
        <is>
          <t>millions</t>
        </is>
      </c>
      <c r="I54" s="9" t="inlineStr">
        <is>
          <t>currency</t>
        </is>
      </c>
      <c r="J54" s="9" t="inlineStr">
        <is>
          <t>ZAR</t>
        </is>
      </c>
      <c r="K54" s="11" t="n"/>
      <c r="L54" s="11" t="n"/>
      <c r="M54" s="9" t="inlineStr">
        <is>
          <t>profit_attributable_nci</t>
        </is>
      </c>
      <c r="N54" s="9" t="inlineStr">
        <is>
          <t>FY2024 comparative RESTATED for discontinued operations (note 45). Previously-reported figures on sheet Restatement_N45</t>
        </is>
      </c>
    </row>
    <row r="55">
      <c r="A55" s="9" t="n">
        <v>51</v>
      </c>
      <c r="B55" s="9" t="inlineStr">
        <is>
          <t>income_statement</t>
        </is>
      </c>
      <c r="C55" s="9" t="inlineStr">
        <is>
          <t>36</t>
        </is>
      </c>
      <c r="D55" s="9" t="inlineStr">
        <is>
          <t>Basic earnings per share from continuing operations (cents)</t>
        </is>
      </c>
      <c r="E55" s="9" t="inlineStr">
        <is>
          <t>FY2025</t>
        </is>
      </c>
      <c r="F55" s="9" t="inlineStr">
        <is>
          <t>as_reported</t>
        </is>
      </c>
      <c r="G55" s="10" t="n">
        <v>1367.2</v>
      </c>
      <c r="H55" s="9" t="inlineStr">
        <is>
          <t>units</t>
        </is>
      </c>
      <c r="I55" s="9" t="inlineStr">
        <is>
          <t>cents_per_share</t>
        </is>
      </c>
      <c r="J55" s="9" t="inlineStr">
        <is>
          <t>ZAR</t>
        </is>
      </c>
      <c r="K55" s="11" t="n"/>
      <c r="L55" s="11" t="n"/>
      <c r="M55" s="9" t="inlineStr">
        <is>
          <t>eps_basic_continuing</t>
        </is>
      </c>
      <c r="N55" s="9" t="inlineStr">
        <is>
          <t>Per share, in cents - unit_type cents_per_share not currency</t>
        </is>
      </c>
    </row>
    <row r="56">
      <c r="A56" s="9" t="n">
        <v>52</v>
      </c>
      <c r="B56" s="9" t="inlineStr">
        <is>
          <t>income_statement</t>
        </is>
      </c>
      <c r="C56" s="9" t="inlineStr">
        <is>
          <t>36</t>
        </is>
      </c>
      <c r="D56" s="9" t="inlineStr">
        <is>
          <t>Basic earnings per share from continuing operations (cents)</t>
        </is>
      </c>
      <c r="E56" s="9" t="inlineStr">
        <is>
          <t>FY2024</t>
        </is>
      </c>
      <c r="F56" s="9" t="inlineStr">
        <is>
          <t>restated</t>
        </is>
      </c>
      <c r="G56" s="10" t="n">
        <v>1149.5</v>
      </c>
      <c r="H56" s="9" t="inlineStr">
        <is>
          <t>units</t>
        </is>
      </c>
      <c r="I56" s="9" t="inlineStr">
        <is>
          <t>cents_per_share</t>
        </is>
      </c>
      <c r="J56" s="9" t="inlineStr">
        <is>
          <t>ZAR</t>
        </is>
      </c>
      <c r="K56" s="11" t="n"/>
      <c r="L56" s="11" t="n"/>
      <c r="M56" s="9" t="inlineStr">
        <is>
          <t>eps_basic_continuing</t>
        </is>
      </c>
      <c r="N56" s="9" t="inlineStr">
        <is>
          <t>Restated</t>
        </is>
      </c>
    </row>
    <row r="57">
      <c r="A57" s="9" t="n">
        <v>53</v>
      </c>
      <c r="B57" s="9" t="inlineStr">
        <is>
          <t>income_statement</t>
        </is>
      </c>
      <c r="C57" s="9" t="inlineStr">
        <is>
          <t>36</t>
        </is>
      </c>
      <c r="D57" s="9" t="inlineStr">
        <is>
          <t>Diluted earnings per share from continuing operations (cents)</t>
        </is>
      </c>
      <c r="E57" s="9" t="inlineStr">
        <is>
          <t>FY2025</t>
        </is>
      </c>
      <c r="F57" s="9" t="inlineStr">
        <is>
          <t>as_reported</t>
        </is>
      </c>
      <c r="G57" s="10" t="n">
        <v>1362.3</v>
      </c>
      <c r="H57" s="9" t="inlineStr">
        <is>
          <t>units</t>
        </is>
      </c>
      <c r="I57" s="9" t="inlineStr">
        <is>
          <t>cents_per_share</t>
        </is>
      </c>
      <c r="J57" s="9" t="inlineStr">
        <is>
          <t>ZAR</t>
        </is>
      </c>
      <c r="K57" s="11" t="n"/>
      <c r="L57" s="11" t="n"/>
      <c r="M57" s="9" t="inlineStr">
        <is>
          <t>eps_diluted_continuing</t>
        </is>
      </c>
      <c r="N57" s="9" t="inlineStr">
        <is>
          <t>Per share, in cents - unit_type cents_per_share not currency</t>
        </is>
      </c>
    </row>
    <row r="58">
      <c r="A58" s="9" t="n">
        <v>54</v>
      </c>
      <c r="B58" s="9" t="inlineStr">
        <is>
          <t>income_statement</t>
        </is>
      </c>
      <c r="C58" s="9" t="inlineStr">
        <is>
          <t>36</t>
        </is>
      </c>
      <c r="D58" s="9" t="inlineStr">
        <is>
          <t>Diluted earnings per share from continuing operations (cents)</t>
        </is>
      </c>
      <c r="E58" s="9" t="inlineStr">
        <is>
          <t>FY2024</t>
        </is>
      </c>
      <c r="F58" s="9" t="inlineStr">
        <is>
          <t>restated</t>
        </is>
      </c>
      <c r="G58" s="10" t="n">
        <v>1144.7</v>
      </c>
      <c r="H58" s="9" t="inlineStr">
        <is>
          <t>units</t>
        </is>
      </c>
      <c r="I58" s="9" t="inlineStr">
        <is>
          <t>cents_per_share</t>
        </is>
      </c>
      <c r="J58" s="9" t="inlineStr">
        <is>
          <t>ZAR</t>
        </is>
      </c>
      <c r="K58" s="11" t="n"/>
      <c r="L58" s="11" t="n"/>
      <c r="M58" s="9" t="inlineStr">
        <is>
          <t>eps_diluted_continuing</t>
        </is>
      </c>
      <c r="N58" s="9" t="inlineStr">
        <is>
          <t>Restated</t>
        </is>
      </c>
    </row>
    <row r="59">
      <c r="A59" s="9" t="n">
        <v>55</v>
      </c>
      <c r="B59" s="9" t="inlineStr">
        <is>
          <t>income_statement</t>
        </is>
      </c>
      <c r="C59" s="9" t="inlineStr">
        <is>
          <t>36</t>
        </is>
      </c>
      <c r="D59" s="9" t="inlineStr">
        <is>
          <t>Basic earnings per share (cents)</t>
        </is>
      </c>
      <c r="E59" s="9" t="inlineStr">
        <is>
          <t>FY2025</t>
        </is>
      </c>
      <c r="F59" s="9" t="inlineStr">
        <is>
          <t>as_reported</t>
        </is>
      </c>
      <c r="G59" s="10" t="n">
        <v>1401.2</v>
      </c>
      <c r="H59" s="9" t="inlineStr">
        <is>
          <t>units</t>
        </is>
      </c>
      <c r="I59" s="9" t="inlineStr">
        <is>
          <t>cents_per_share</t>
        </is>
      </c>
      <c r="J59" s="9" t="inlineStr">
        <is>
          <t>ZAR</t>
        </is>
      </c>
      <c r="K59" s="11" t="n"/>
      <c r="L59" s="11" t="n"/>
      <c r="M59" s="9" t="inlineStr">
        <is>
          <t>eps_basic</t>
        </is>
      </c>
      <c r="N59" s="9" t="inlineStr">
        <is>
          <t>Per share, in cents - unit_type cents_per_share not currency</t>
        </is>
      </c>
    </row>
    <row r="60">
      <c r="A60" s="9" t="n">
        <v>56</v>
      </c>
      <c r="B60" s="9" t="inlineStr">
        <is>
          <t>income_statement</t>
        </is>
      </c>
      <c r="C60" s="9" t="inlineStr">
        <is>
          <t>36</t>
        </is>
      </c>
      <c r="D60" s="9" t="inlineStr">
        <is>
          <t>Basic earnings per share (cents)</t>
        </is>
      </c>
      <c r="E60" s="9" t="inlineStr">
        <is>
          <t>FY2024</t>
        </is>
      </c>
      <c r="F60" s="9" t="inlineStr">
        <is>
          <t>restated</t>
        </is>
      </c>
      <c r="G60" s="10" t="n">
        <v>1148.6</v>
      </c>
      <c r="H60" s="9" t="inlineStr">
        <is>
          <t>units</t>
        </is>
      </c>
      <c r="I60" s="9" t="inlineStr">
        <is>
          <t>cents_per_share</t>
        </is>
      </c>
      <c r="J60" s="9" t="inlineStr">
        <is>
          <t>ZAR</t>
        </is>
      </c>
      <c r="K60" s="11" t="n"/>
      <c r="L60" s="11" t="n"/>
      <c r="M60" s="9" t="inlineStr">
        <is>
          <t>eps_basic</t>
        </is>
      </c>
      <c r="N60" s="9" t="inlineStr">
        <is>
          <t>Restated</t>
        </is>
      </c>
    </row>
    <row r="61">
      <c r="A61" s="9" t="n">
        <v>57</v>
      </c>
      <c r="B61" s="9" t="inlineStr">
        <is>
          <t>income_statement</t>
        </is>
      </c>
      <c r="C61" s="9" t="inlineStr">
        <is>
          <t>36</t>
        </is>
      </c>
      <c r="D61" s="9" t="inlineStr">
        <is>
          <t>Diluted earnings per share (cents)</t>
        </is>
      </c>
      <c r="E61" s="9" t="inlineStr">
        <is>
          <t>FY2025</t>
        </is>
      </c>
      <c r="F61" s="9" t="inlineStr">
        <is>
          <t>as_reported</t>
        </is>
      </c>
      <c r="G61" s="10" t="n">
        <v>1396.2</v>
      </c>
      <c r="H61" s="9" t="inlineStr">
        <is>
          <t>units</t>
        </is>
      </c>
      <c r="I61" s="9" t="inlineStr">
        <is>
          <t>cents_per_share</t>
        </is>
      </c>
      <c r="J61" s="9" t="inlineStr">
        <is>
          <t>ZAR</t>
        </is>
      </c>
      <c r="K61" s="11" t="n"/>
      <c r="L61" s="11" t="n"/>
      <c r="M61" s="9" t="inlineStr">
        <is>
          <t>eps_diluted</t>
        </is>
      </c>
      <c r="N61" s="9" t="inlineStr">
        <is>
          <t>Per share, in cents - unit_type cents_per_share not currency</t>
        </is>
      </c>
    </row>
    <row r="62">
      <c r="A62" s="9" t="n">
        <v>58</v>
      </c>
      <c r="B62" s="9" t="inlineStr">
        <is>
          <t>income_statement</t>
        </is>
      </c>
      <c r="C62" s="9" t="inlineStr">
        <is>
          <t>36</t>
        </is>
      </c>
      <c r="D62" s="9" t="inlineStr">
        <is>
          <t>Diluted earnings per share (cents)</t>
        </is>
      </c>
      <c r="E62" s="9" t="inlineStr">
        <is>
          <t>FY2024</t>
        </is>
      </c>
      <c r="F62" s="9" t="inlineStr">
        <is>
          <t>restated</t>
        </is>
      </c>
      <c r="G62" s="10" t="n">
        <v>1143.7</v>
      </c>
      <c r="H62" s="9" t="inlineStr">
        <is>
          <t>units</t>
        </is>
      </c>
      <c r="I62" s="9" t="inlineStr">
        <is>
          <t>cents_per_share</t>
        </is>
      </c>
      <c r="J62" s="9" t="inlineStr">
        <is>
          <t>ZAR</t>
        </is>
      </c>
      <c r="K62" s="11" t="n"/>
      <c r="L62" s="11" t="n"/>
      <c r="M62" s="9" t="inlineStr">
        <is>
          <t>eps_diluted</t>
        </is>
      </c>
      <c r="N62" s="9" t="inlineStr">
        <is>
          <t>Restated</t>
        </is>
      </c>
    </row>
  </sheetData>
  <autoFilter ref="A4:N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52" customWidth="1" min="4" max="4"/>
    <col width="9" customWidth="1" min="5" max="5"/>
    <col width="13" customWidth="1" min="6" max="6"/>
    <col width="16" customWidth="1" min="7" max="7"/>
    <col width="11" customWidth="1" min="8" max="8"/>
    <col width="10" customWidth="1" min="9" max="9"/>
    <col width="9" customWidth="1" min="10" max="10"/>
    <col width="8" customWidth="1" min="11" max="11"/>
    <col width="9" customWidth="1" min="12" max="12"/>
    <col width="30" customWidth="1" min="13" max="13"/>
    <col width="44" customWidth="1" min="14" max="14"/>
  </cols>
  <sheetData>
    <row r="1">
      <c r="A1" s="6" t="inlineStr">
        <is>
          <t>M2.6  Consolidated statement of financial position</t>
        </is>
      </c>
    </row>
    <row r="2">
      <c r="A2" s="7" t="inlineStr">
        <is>
          <t>Source: Shoprite Holdings Ltd, Annual Financial Statements 2025 (52 weeks ended 29 June 2025). Values pre-filled from the published statements — VERIFY each against the PDF, then fill 'page' and set 'verified' to Y.</t>
        </is>
      </c>
    </row>
    <row r="4">
      <c r="A4" s="8" t="inlineStr">
        <is>
          <t>row_id</t>
        </is>
      </c>
      <c r="B4" s="8" t="inlineStr">
        <is>
          <t>statement</t>
        </is>
      </c>
      <c r="C4" s="8" t="inlineStr">
        <is>
          <t>note_ref</t>
        </is>
      </c>
      <c r="D4" s="8" t="inlineStr">
        <is>
          <t>as_reported_label</t>
        </is>
      </c>
      <c r="E4" s="8" t="inlineStr">
        <is>
          <t>period</t>
        </is>
      </c>
      <c r="F4" s="8" t="inlineStr">
        <is>
          <t>basis</t>
        </is>
      </c>
      <c r="G4" s="8" t="inlineStr">
        <is>
          <t>value_as_printed</t>
        </is>
      </c>
      <c r="H4" s="8" t="inlineStr">
        <is>
          <t>scale</t>
        </is>
      </c>
      <c r="I4" s="8" t="inlineStr">
        <is>
          <t>unit</t>
        </is>
      </c>
      <c r="J4" s="8" t="inlineStr">
        <is>
          <t>currency</t>
        </is>
      </c>
      <c r="K4" s="8" t="inlineStr">
        <is>
          <t>page</t>
        </is>
      </c>
      <c r="L4" s="8" t="inlineStr">
        <is>
          <t>verified</t>
        </is>
      </c>
      <c r="M4" s="8" t="inlineStr">
        <is>
          <t>concept_suggestion</t>
        </is>
      </c>
      <c r="N4" s="8" t="inlineStr">
        <is>
          <t>notes</t>
        </is>
      </c>
    </row>
    <row r="5">
      <c r="A5" s="9" t="n">
        <v>1</v>
      </c>
      <c r="B5" s="9" t="inlineStr">
        <is>
          <t>balance_sheet</t>
        </is>
      </c>
      <c r="C5" s="9" t="inlineStr"/>
      <c r="D5" s="9" t="inlineStr">
        <is>
          <t>Non-current assets</t>
        </is>
      </c>
      <c r="E5" s="9" t="inlineStr">
        <is>
          <t>FY2025</t>
        </is>
      </c>
      <c r="F5" s="9" t="inlineStr">
        <is>
          <t>as_reported</t>
        </is>
      </c>
      <c r="G5" s="10" t="n">
        <v>72077</v>
      </c>
      <c r="H5" s="9" t="inlineStr">
        <is>
          <t>millions</t>
        </is>
      </c>
      <c r="I5" s="9" t="inlineStr">
        <is>
          <t>currency</t>
        </is>
      </c>
      <c r="J5" s="9" t="inlineStr">
        <is>
          <t>ZAR</t>
        </is>
      </c>
      <c r="K5" s="11" t="n"/>
      <c r="L5" s="11" t="n"/>
      <c r="M5" s="9" t="inlineStr">
        <is>
          <t>total_non_current_assets</t>
        </is>
      </c>
      <c r="N5" s="9" t="inlineStr"/>
    </row>
    <row r="6">
      <c r="A6" s="9" t="n">
        <v>2</v>
      </c>
      <c r="B6" s="9" t="inlineStr">
        <is>
          <t>balance_sheet</t>
        </is>
      </c>
      <c r="C6" s="9" t="inlineStr"/>
      <c r="D6" s="9" t="inlineStr">
        <is>
          <t>Non-current assets</t>
        </is>
      </c>
      <c r="E6" s="9" t="inlineStr">
        <is>
          <t>FY2024</t>
        </is>
      </c>
      <c r="F6" s="9" t="inlineStr">
        <is>
          <t>as_reported</t>
        </is>
      </c>
      <c r="G6" s="10" t="n">
        <v>62269</v>
      </c>
      <c r="H6" s="9" t="inlineStr">
        <is>
          <t>millions</t>
        </is>
      </c>
      <c r="I6" s="9" t="inlineStr">
        <is>
          <t>currency</t>
        </is>
      </c>
      <c r="J6" s="9" t="inlineStr">
        <is>
          <t>ZAR</t>
        </is>
      </c>
      <c r="K6" s="11" t="n"/>
      <c r="L6" s="11" t="n"/>
      <c r="M6" s="9" t="inlineStr">
        <is>
          <t>total_non_current_assets</t>
        </is>
      </c>
      <c r="N6" s="9" t="inlineStr">
        <is>
          <t>IMPORTANT: balance sheet comparative NOT restated (IFRS 5 does not require it) - basis is as_reported, unlike the income statement</t>
        </is>
      </c>
    </row>
    <row r="7">
      <c r="A7" s="9" t="n">
        <v>3</v>
      </c>
      <c r="B7" s="9" t="inlineStr">
        <is>
          <t>balance_sheet</t>
        </is>
      </c>
      <c r="C7" s="9" t="inlineStr">
        <is>
          <t>3</t>
        </is>
      </c>
      <c r="D7" s="9" t="inlineStr">
        <is>
          <t>Property, plant and equipment</t>
        </is>
      </c>
      <c r="E7" s="9" t="inlineStr">
        <is>
          <t>FY2025</t>
        </is>
      </c>
      <c r="F7" s="9" t="inlineStr">
        <is>
          <t>as_reported</t>
        </is>
      </c>
      <c r="G7" s="10" t="n">
        <v>22536</v>
      </c>
      <c r="H7" s="9" t="inlineStr">
        <is>
          <t>millions</t>
        </is>
      </c>
      <c r="I7" s="9" t="inlineStr">
        <is>
          <t>currency</t>
        </is>
      </c>
      <c r="J7" s="9" t="inlineStr">
        <is>
          <t>ZAR</t>
        </is>
      </c>
      <c r="K7" s="11" t="n"/>
      <c r="L7" s="11" t="n"/>
      <c r="M7" s="9" t="inlineStr">
        <is>
          <t>property_plant_equipment</t>
        </is>
      </c>
      <c r="N7" s="9" t="inlineStr"/>
    </row>
    <row r="8">
      <c r="A8" s="9" t="n">
        <v>4</v>
      </c>
      <c r="B8" s="9" t="inlineStr">
        <is>
          <t>balance_sheet</t>
        </is>
      </c>
      <c r="C8" s="9" t="inlineStr">
        <is>
          <t>3</t>
        </is>
      </c>
      <c r="D8" s="9" t="inlineStr">
        <is>
          <t>Property, plant and equipment</t>
        </is>
      </c>
      <c r="E8" s="9" t="inlineStr">
        <is>
          <t>FY2024</t>
        </is>
      </c>
      <c r="F8" s="9" t="inlineStr">
        <is>
          <t>as_reported</t>
        </is>
      </c>
      <c r="G8" s="10" t="n">
        <v>19672</v>
      </c>
      <c r="H8" s="9" t="inlineStr">
        <is>
          <t>millions</t>
        </is>
      </c>
      <c r="I8" s="9" t="inlineStr">
        <is>
          <t>currency</t>
        </is>
      </c>
      <c r="J8" s="9" t="inlineStr">
        <is>
          <t>ZAR</t>
        </is>
      </c>
      <c r="K8" s="11" t="n"/>
      <c r="L8" s="11" t="n"/>
      <c r="M8" s="9" t="inlineStr">
        <is>
          <t>property_plant_equipment</t>
        </is>
      </c>
      <c r="N8" s="9" t="inlineStr">
        <is>
          <t>IMPORTANT: balance sheet comparative NOT restated (IFRS 5 does not require it) - basis is as_reported, unlike the income statement</t>
        </is>
      </c>
    </row>
    <row r="9">
      <c r="A9" s="9" t="n">
        <v>5</v>
      </c>
      <c r="B9" s="9" t="inlineStr">
        <is>
          <t>balance_sheet</t>
        </is>
      </c>
      <c r="C9" s="9" t="inlineStr">
        <is>
          <t>5</t>
        </is>
      </c>
      <c r="D9" s="9" t="inlineStr">
        <is>
          <t>Investment properties</t>
        </is>
      </c>
      <c r="E9" s="9" t="inlineStr">
        <is>
          <t>FY2025</t>
        </is>
      </c>
      <c r="F9" s="9" t="inlineStr">
        <is>
          <t>as_reported</t>
        </is>
      </c>
      <c r="G9" s="10" t="n">
        <v>128</v>
      </c>
      <c r="H9" s="9" t="inlineStr">
        <is>
          <t>millions</t>
        </is>
      </c>
      <c r="I9" s="9" t="inlineStr">
        <is>
          <t>currency</t>
        </is>
      </c>
      <c r="J9" s="9" t="inlineStr">
        <is>
          <t>ZAR</t>
        </is>
      </c>
      <c r="K9" s="11" t="n"/>
      <c r="L9" s="11" t="n"/>
      <c r="M9" s="9" t="inlineStr">
        <is>
          <t>investment_properties</t>
        </is>
      </c>
      <c r="N9" s="9" t="inlineStr"/>
    </row>
    <row r="10">
      <c r="A10" s="9" t="n">
        <v>6</v>
      </c>
      <c r="B10" s="9" t="inlineStr">
        <is>
          <t>balance_sheet</t>
        </is>
      </c>
      <c r="C10" s="9" t="inlineStr">
        <is>
          <t>5</t>
        </is>
      </c>
      <c r="D10" s="9" t="inlineStr">
        <is>
          <t>Investment properties</t>
        </is>
      </c>
      <c r="E10" s="9" t="inlineStr">
        <is>
          <t>FY2024</t>
        </is>
      </c>
      <c r="F10" s="9" t="inlineStr">
        <is>
          <t>as_reported</t>
        </is>
      </c>
      <c r="G10" s="10" t="n">
        <v>617</v>
      </c>
      <c r="H10" s="9" t="inlineStr">
        <is>
          <t>millions</t>
        </is>
      </c>
      <c r="I10" s="9" t="inlineStr">
        <is>
          <t>currency</t>
        </is>
      </c>
      <c r="J10" s="9" t="inlineStr">
        <is>
          <t>ZAR</t>
        </is>
      </c>
      <c r="K10" s="11" t="n"/>
      <c r="L10" s="11" t="n"/>
      <c r="M10" s="9" t="inlineStr">
        <is>
          <t>investment_properties</t>
        </is>
      </c>
      <c r="N10" s="9" t="inlineStr">
        <is>
          <t>IMPORTANT: balance sheet comparative NOT restated (IFRS 5 does not require it) - basis is as_reported, unlike the income statement</t>
        </is>
      </c>
    </row>
    <row r="11">
      <c r="A11" s="9" t="n">
        <v>7</v>
      </c>
      <c r="B11" s="9" t="inlineStr">
        <is>
          <t>balance_sheet</t>
        </is>
      </c>
      <c r="C11" s="9" t="inlineStr">
        <is>
          <t>6</t>
        </is>
      </c>
      <c r="D11" s="9" t="inlineStr">
        <is>
          <t>Right-of-use assets</t>
        </is>
      </c>
      <c r="E11" s="9" t="inlineStr">
        <is>
          <t>FY2025</t>
        </is>
      </c>
      <c r="F11" s="9" t="inlineStr">
        <is>
          <t>as_reported</t>
        </is>
      </c>
      <c r="G11" s="10" t="n">
        <v>36090</v>
      </c>
      <c r="H11" s="9" t="inlineStr">
        <is>
          <t>millions</t>
        </is>
      </c>
      <c r="I11" s="9" t="inlineStr">
        <is>
          <t>currency</t>
        </is>
      </c>
      <c r="J11" s="9" t="inlineStr">
        <is>
          <t>ZAR</t>
        </is>
      </c>
      <c r="K11" s="11" t="n"/>
      <c r="L11" s="11" t="n"/>
      <c r="M11" s="9" t="inlineStr">
        <is>
          <t>right_of_use_assets</t>
        </is>
      </c>
      <c r="N11" s="9" t="inlineStr"/>
    </row>
    <row r="12">
      <c r="A12" s="9" t="n">
        <v>8</v>
      </c>
      <c r="B12" s="9" t="inlineStr">
        <is>
          <t>balance_sheet</t>
        </is>
      </c>
      <c r="C12" s="9" t="inlineStr">
        <is>
          <t>6</t>
        </is>
      </c>
      <c r="D12" s="9" t="inlineStr">
        <is>
          <t>Right-of-use assets</t>
        </is>
      </c>
      <c r="E12" s="9" t="inlineStr">
        <is>
          <t>FY2024</t>
        </is>
      </c>
      <c r="F12" s="9" t="inlineStr">
        <is>
          <t>as_reported</t>
        </is>
      </c>
      <c r="G12" s="10" t="n">
        <v>30469</v>
      </c>
      <c r="H12" s="9" t="inlineStr">
        <is>
          <t>millions</t>
        </is>
      </c>
      <c r="I12" s="9" t="inlineStr">
        <is>
          <t>currency</t>
        </is>
      </c>
      <c r="J12" s="9" t="inlineStr">
        <is>
          <t>ZAR</t>
        </is>
      </c>
      <c r="K12" s="11" t="n"/>
      <c r="L12" s="11" t="n"/>
      <c r="M12" s="9" t="inlineStr">
        <is>
          <t>right_of_use_assets</t>
        </is>
      </c>
      <c r="N12" s="9" t="inlineStr">
        <is>
          <t>IMPORTANT: balance sheet comparative NOT restated (IFRS 5 does not require it) - basis is as_reported, unlike the income statement</t>
        </is>
      </c>
    </row>
    <row r="13">
      <c r="A13" s="9" t="n">
        <v>9</v>
      </c>
      <c r="B13" s="9" t="inlineStr">
        <is>
          <t>balance_sheet</t>
        </is>
      </c>
      <c r="C13" s="9" t="inlineStr">
        <is>
          <t>7</t>
        </is>
      </c>
      <c r="D13" s="9" t="inlineStr">
        <is>
          <t>Intangible assets</t>
        </is>
      </c>
      <c r="E13" s="9" t="inlineStr">
        <is>
          <t>FY2025</t>
        </is>
      </c>
      <c r="F13" s="9" t="inlineStr">
        <is>
          <t>as_reported</t>
        </is>
      </c>
      <c r="G13" s="10" t="n">
        <v>5700</v>
      </c>
      <c r="H13" s="9" t="inlineStr">
        <is>
          <t>millions</t>
        </is>
      </c>
      <c r="I13" s="9" t="inlineStr">
        <is>
          <t>currency</t>
        </is>
      </c>
      <c r="J13" s="9" t="inlineStr">
        <is>
          <t>ZAR</t>
        </is>
      </c>
      <c r="K13" s="11" t="n"/>
      <c r="L13" s="11" t="n"/>
      <c r="M13" s="9" t="inlineStr">
        <is>
          <t>intangible_assets</t>
        </is>
      </c>
      <c r="N13" s="9" t="inlineStr"/>
    </row>
    <row r="14">
      <c r="A14" s="9" t="n">
        <v>10</v>
      </c>
      <c r="B14" s="9" t="inlineStr">
        <is>
          <t>balance_sheet</t>
        </is>
      </c>
      <c r="C14" s="9" t="inlineStr">
        <is>
          <t>7</t>
        </is>
      </c>
      <c r="D14" s="9" t="inlineStr">
        <is>
          <t>Intangible assets</t>
        </is>
      </c>
      <c r="E14" s="9" t="inlineStr">
        <is>
          <t>FY2024</t>
        </is>
      </c>
      <c r="F14" s="9" t="inlineStr">
        <is>
          <t>as_reported</t>
        </is>
      </c>
      <c r="G14" s="10" t="n">
        <v>4695</v>
      </c>
      <c r="H14" s="9" t="inlineStr">
        <is>
          <t>millions</t>
        </is>
      </c>
      <c r="I14" s="9" t="inlineStr">
        <is>
          <t>currency</t>
        </is>
      </c>
      <c r="J14" s="9" t="inlineStr">
        <is>
          <t>ZAR</t>
        </is>
      </c>
      <c r="K14" s="11" t="n"/>
      <c r="L14" s="11" t="n"/>
      <c r="M14" s="9" t="inlineStr">
        <is>
          <t>intangible_assets</t>
        </is>
      </c>
      <c r="N14" s="9" t="inlineStr">
        <is>
          <t>IMPORTANT: balance sheet comparative NOT restated (IFRS 5 does not require it) - basis is as_reported, unlike the income statement</t>
        </is>
      </c>
    </row>
    <row r="15">
      <c r="A15" s="9" t="n">
        <v>11</v>
      </c>
      <c r="B15" s="9" t="inlineStr">
        <is>
          <t>balance_sheet</t>
        </is>
      </c>
      <c r="C15" s="9" t="inlineStr">
        <is>
          <t>9</t>
        </is>
      </c>
      <c r="D15" s="9" t="inlineStr">
        <is>
          <t>Equity accounted investments</t>
        </is>
      </c>
      <c r="E15" s="9" t="inlineStr">
        <is>
          <t>FY2025</t>
        </is>
      </c>
      <c r="F15" s="9" t="inlineStr">
        <is>
          <t>as_reported</t>
        </is>
      </c>
      <c r="G15" s="10" t="n">
        <v>2452</v>
      </c>
      <c r="H15" s="9" t="inlineStr">
        <is>
          <t>millions</t>
        </is>
      </c>
      <c r="I15" s="9" t="inlineStr">
        <is>
          <t>currency</t>
        </is>
      </c>
      <c r="J15" s="9" t="inlineStr">
        <is>
          <t>ZAR</t>
        </is>
      </c>
      <c r="K15" s="11" t="n"/>
      <c r="L15" s="11" t="n"/>
      <c r="M15" s="9" t="inlineStr">
        <is>
          <t>equity_accounted_investments</t>
        </is>
      </c>
      <c r="N15" s="9" t="inlineStr"/>
    </row>
    <row r="16">
      <c r="A16" s="9" t="n">
        <v>12</v>
      </c>
      <c r="B16" s="9" t="inlineStr">
        <is>
          <t>balance_sheet</t>
        </is>
      </c>
      <c r="C16" s="9" t="inlineStr">
        <is>
          <t>9</t>
        </is>
      </c>
      <c r="D16" s="9" t="inlineStr">
        <is>
          <t>Equity accounted investments</t>
        </is>
      </c>
      <c r="E16" s="9" t="inlineStr">
        <is>
          <t>FY2024</t>
        </is>
      </c>
      <c r="F16" s="9" t="inlineStr">
        <is>
          <t>as_reported</t>
        </is>
      </c>
      <c r="G16" s="10" t="n">
        <v>2478</v>
      </c>
      <c r="H16" s="9" t="inlineStr">
        <is>
          <t>millions</t>
        </is>
      </c>
      <c r="I16" s="9" t="inlineStr">
        <is>
          <t>currency</t>
        </is>
      </c>
      <c r="J16" s="9" t="inlineStr">
        <is>
          <t>ZAR</t>
        </is>
      </c>
      <c r="K16" s="11" t="n"/>
      <c r="L16" s="11" t="n"/>
      <c r="M16" s="9" t="inlineStr">
        <is>
          <t>equity_accounted_investments</t>
        </is>
      </c>
      <c r="N16" s="9" t="inlineStr">
        <is>
          <t>IMPORTANT: balance sheet comparative NOT restated (IFRS 5 does not require it) - basis is as_reported, unlike the income statement</t>
        </is>
      </c>
    </row>
    <row r="17">
      <c r="A17" s="9" t="n">
        <v>13</v>
      </c>
      <c r="B17" s="9" t="inlineStr">
        <is>
          <t>balance_sheet</t>
        </is>
      </c>
      <c r="C17" s="9" t="inlineStr">
        <is>
          <t>10</t>
        </is>
      </c>
      <c r="D17" s="9" t="inlineStr">
        <is>
          <t>Investments at fair value through other comprehensive income</t>
        </is>
      </c>
      <c r="E17" s="9" t="inlineStr">
        <is>
          <t>FY2025</t>
        </is>
      </c>
      <c r="F17" s="9" t="inlineStr">
        <is>
          <t>as_reported</t>
        </is>
      </c>
      <c r="G17" s="10" t="n">
        <v>74</v>
      </c>
      <c r="H17" s="9" t="inlineStr">
        <is>
          <t>millions</t>
        </is>
      </c>
      <c r="I17" s="9" t="inlineStr">
        <is>
          <t>currency</t>
        </is>
      </c>
      <c r="J17" s="9" t="inlineStr">
        <is>
          <t>ZAR</t>
        </is>
      </c>
      <c r="K17" s="11" t="n"/>
      <c r="L17" s="11" t="n"/>
      <c r="M17" s="9" t="inlineStr">
        <is>
          <t>investments_fvoci</t>
        </is>
      </c>
      <c r="N17" s="9" t="inlineStr"/>
    </row>
    <row r="18">
      <c r="A18" s="9" t="n">
        <v>14</v>
      </c>
      <c r="B18" s="9" t="inlineStr">
        <is>
          <t>balance_sheet</t>
        </is>
      </c>
      <c r="C18" s="9" t="inlineStr">
        <is>
          <t>10</t>
        </is>
      </c>
      <c r="D18" s="9" t="inlineStr">
        <is>
          <t>Investments at fair value through other comprehensive income</t>
        </is>
      </c>
      <c r="E18" s="9" t="inlineStr">
        <is>
          <t>FY2024</t>
        </is>
      </c>
      <c r="F18" s="9" t="inlineStr">
        <is>
          <t>as_reported</t>
        </is>
      </c>
      <c r="G18" s="10" t="n">
        <v>67</v>
      </c>
      <c r="H18" s="9" t="inlineStr">
        <is>
          <t>millions</t>
        </is>
      </c>
      <c r="I18" s="9" t="inlineStr">
        <is>
          <t>currency</t>
        </is>
      </c>
      <c r="J18" s="9" t="inlineStr">
        <is>
          <t>ZAR</t>
        </is>
      </c>
      <c r="K18" s="11" t="n"/>
      <c r="L18" s="11" t="n"/>
      <c r="M18" s="9" t="inlineStr">
        <is>
          <t>investments_fvoci</t>
        </is>
      </c>
      <c r="N18" s="9" t="inlineStr">
        <is>
          <t>IMPORTANT: balance sheet comparative NOT restated (IFRS 5 does not require it) - basis is as_reported, unlike the income statement</t>
        </is>
      </c>
    </row>
    <row r="19">
      <c r="A19" s="9" t="n">
        <v>15</v>
      </c>
      <c r="B19" s="9" t="inlineStr">
        <is>
          <t>balance_sheet</t>
        </is>
      </c>
      <c r="C19" s="9" t="inlineStr">
        <is>
          <t>11</t>
        </is>
      </c>
      <c r="D19" s="9" t="inlineStr">
        <is>
          <t>Investment in insurance cell captive arrangements (non-current)</t>
        </is>
      </c>
      <c r="E19" s="9" t="inlineStr">
        <is>
          <t>FY2025</t>
        </is>
      </c>
      <c r="F19" s="9" t="inlineStr">
        <is>
          <t>as_reported</t>
        </is>
      </c>
      <c r="G19" s="10" t="n">
        <v>39</v>
      </c>
      <c r="H19" s="9" t="inlineStr">
        <is>
          <t>millions</t>
        </is>
      </c>
      <c r="I19" s="9" t="inlineStr">
        <is>
          <t>currency</t>
        </is>
      </c>
      <c r="J19" s="9" t="inlineStr">
        <is>
          <t>ZAR</t>
        </is>
      </c>
      <c r="K19" s="11" t="n"/>
      <c r="L19" s="11" t="n"/>
      <c r="M19" s="9" t="inlineStr">
        <is>
          <t>insurance_cell_captive_non_current</t>
        </is>
      </c>
      <c r="N19" s="9" t="inlineStr"/>
    </row>
    <row r="20">
      <c r="A20" s="9" t="n">
        <v>16</v>
      </c>
      <c r="B20" s="9" t="inlineStr">
        <is>
          <t>balance_sheet</t>
        </is>
      </c>
      <c r="C20" s="9" t="inlineStr">
        <is>
          <t>11</t>
        </is>
      </c>
      <c r="D20" s="9" t="inlineStr">
        <is>
          <t>Investment in insurance cell captive arrangements (non-current)</t>
        </is>
      </c>
      <c r="E20" s="9" t="inlineStr">
        <is>
          <t>FY2024</t>
        </is>
      </c>
      <c r="F20" s="9" t="inlineStr">
        <is>
          <t>as_reported</t>
        </is>
      </c>
      <c r="G20" s="10" t="n">
        <v>129</v>
      </c>
      <c r="H20" s="9" t="inlineStr">
        <is>
          <t>millions</t>
        </is>
      </c>
      <c r="I20" s="9" t="inlineStr">
        <is>
          <t>currency</t>
        </is>
      </c>
      <c r="J20" s="9" t="inlineStr">
        <is>
          <t>ZAR</t>
        </is>
      </c>
      <c r="K20" s="11" t="n"/>
      <c r="L20" s="11" t="n"/>
      <c r="M20" s="9" t="inlineStr">
        <is>
          <t>insurance_cell_captive_non_current</t>
        </is>
      </c>
      <c r="N20" s="9" t="inlineStr">
        <is>
          <t>IMPORTANT: balance sheet comparative NOT restated (IFRS 5 does not require it) - basis is as_reported, unlike the income statement</t>
        </is>
      </c>
    </row>
    <row r="21">
      <c r="A21" s="9" t="n">
        <v>17</v>
      </c>
      <c r="B21" s="9" t="inlineStr">
        <is>
          <t>balance_sheet</t>
        </is>
      </c>
      <c r="C21" s="9" t="inlineStr">
        <is>
          <t>12</t>
        </is>
      </c>
      <c r="D21" s="9" t="inlineStr">
        <is>
          <t>Government bonds and bills (non-current)</t>
        </is>
      </c>
      <c r="E21" s="9" t="inlineStr">
        <is>
          <t>FY2025</t>
        </is>
      </c>
      <c r="F21" s="9" t="inlineStr">
        <is>
          <t>as_reported</t>
        </is>
      </c>
      <c r="G21" s="10" t="n">
        <v>539</v>
      </c>
      <c r="H21" s="9" t="inlineStr">
        <is>
          <t>millions</t>
        </is>
      </c>
      <c r="I21" s="9" t="inlineStr">
        <is>
          <t>currency</t>
        </is>
      </c>
      <c r="J21" s="9" t="inlineStr">
        <is>
          <t>ZAR</t>
        </is>
      </c>
      <c r="K21" s="11" t="n"/>
      <c r="L21" s="11" t="n"/>
      <c r="M21" s="9" t="inlineStr">
        <is>
          <t>government_bonds_non_current</t>
        </is>
      </c>
      <c r="N21" s="9" t="inlineStr"/>
    </row>
    <row r="22">
      <c r="A22" s="9" t="n">
        <v>18</v>
      </c>
      <c r="B22" s="9" t="inlineStr">
        <is>
          <t>balance_sheet</t>
        </is>
      </c>
      <c r="C22" s="9" t="inlineStr">
        <is>
          <t>12</t>
        </is>
      </c>
      <c r="D22" s="9" t="inlineStr">
        <is>
          <t>Government bonds and bills (non-current)</t>
        </is>
      </c>
      <c r="E22" s="9" t="inlineStr">
        <is>
          <t>FY2024</t>
        </is>
      </c>
      <c r="F22" s="9" t="inlineStr">
        <is>
          <t>as_reported</t>
        </is>
      </c>
      <c r="G22" s="10" t="n">
        <v>0</v>
      </c>
      <c r="H22" s="9" t="inlineStr">
        <is>
          <t>millions</t>
        </is>
      </c>
      <c r="I22" s="9" t="inlineStr">
        <is>
          <t>currency</t>
        </is>
      </c>
      <c r="J22" s="9" t="inlineStr">
        <is>
          <t>ZAR</t>
        </is>
      </c>
      <c r="K22" s="11" t="n"/>
      <c r="L22" s="11" t="n"/>
      <c r="M22" s="9" t="inlineStr">
        <is>
          <t>government_bonds_non_current</t>
        </is>
      </c>
      <c r="N22" s="9" t="inlineStr">
        <is>
          <t>IMPORTANT: balance sheet comparative NOT restated (IFRS 5 does not require it) - basis is as_reported, unlike the income statement</t>
        </is>
      </c>
    </row>
    <row r="23">
      <c r="A23" s="9" t="n">
        <v>19</v>
      </c>
      <c r="B23" s="9" t="inlineStr">
        <is>
          <t>balance_sheet</t>
        </is>
      </c>
      <c r="C23" s="9" t="inlineStr">
        <is>
          <t>13</t>
        </is>
      </c>
      <c r="D23" s="9" t="inlineStr">
        <is>
          <t>Loans receivable (non-current)</t>
        </is>
      </c>
      <c r="E23" s="9" t="inlineStr">
        <is>
          <t>FY2025</t>
        </is>
      </c>
      <c r="F23" s="9" t="inlineStr">
        <is>
          <t>as_reported</t>
        </is>
      </c>
      <c r="G23" s="10" t="n">
        <v>487</v>
      </c>
      <c r="H23" s="9" t="inlineStr">
        <is>
          <t>millions</t>
        </is>
      </c>
      <c r="I23" s="9" t="inlineStr">
        <is>
          <t>currency</t>
        </is>
      </c>
      <c r="J23" s="9" t="inlineStr">
        <is>
          <t>ZAR</t>
        </is>
      </c>
      <c r="K23" s="11" t="n"/>
      <c r="L23" s="11" t="n"/>
      <c r="M23" s="9" t="inlineStr">
        <is>
          <t>loans_receivable_non_current</t>
        </is>
      </c>
      <c r="N23" s="9" t="inlineStr"/>
    </row>
    <row r="24">
      <c r="A24" s="9" t="n">
        <v>20</v>
      </c>
      <c r="B24" s="9" t="inlineStr">
        <is>
          <t>balance_sheet</t>
        </is>
      </c>
      <c r="C24" s="9" t="inlineStr">
        <is>
          <t>13</t>
        </is>
      </c>
      <c r="D24" s="9" t="inlineStr">
        <is>
          <t>Loans receivable (non-current)</t>
        </is>
      </c>
      <c r="E24" s="9" t="inlineStr">
        <is>
          <t>FY2024</t>
        </is>
      </c>
      <c r="F24" s="9" t="inlineStr">
        <is>
          <t>as_reported</t>
        </is>
      </c>
      <c r="G24" s="10" t="n">
        <v>429</v>
      </c>
      <c r="H24" s="9" t="inlineStr">
        <is>
          <t>millions</t>
        </is>
      </c>
      <c r="I24" s="9" t="inlineStr">
        <is>
          <t>currency</t>
        </is>
      </c>
      <c r="J24" s="9" t="inlineStr">
        <is>
          <t>ZAR</t>
        </is>
      </c>
      <c r="K24" s="11" t="n"/>
      <c r="L24" s="11" t="n"/>
      <c r="M24" s="9" t="inlineStr">
        <is>
          <t>loans_receivable_non_current</t>
        </is>
      </c>
      <c r="N24" s="9" t="inlineStr">
        <is>
          <t>IMPORTANT: balance sheet comparative NOT restated (IFRS 5 does not require it) - basis is as_reported, unlike the income statement</t>
        </is>
      </c>
    </row>
    <row r="25">
      <c r="A25" s="9" t="n">
        <v>21</v>
      </c>
      <c r="B25" s="9" t="inlineStr">
        <is>
          <t>balance_sheet</t>
        </is>
      </c>
      <c r="C25" s="9" t="inlineStr">
        <is>
          <t>14</t>
        </is>
      </c>
      <c r="D25" s="9" t="inlineStr">
        <is>
          <t>Deferred income tax assets</t>
        </is>
      </c>
      <c r="E25" s="9" t="inlineStr">
        <is>
          <t>FY2025</t>
        </is>
      </c>
      <c r="F25" s="9" t="inlineStr">
        <is>
          <t>as_reported</t>
        </is>
      </c>
      <c r="G25" s="10" t="n">
        <v>3447</v>
      </c>
      <c r="H25" s="9" t="inlineStr">
        <is>
          <t>millions</t>
        </is>
      </c>
      <c r="I25" s="9" t="inlineStr">
        <is>
          <t>currency</t>
        </is>
      </c>
      <c r="J25" s="9" t="inlineStr">
        <is>
          <t>ZAR</t>
        </is>
      </c>
      <c r="K25" s="11" t="n"/>
      <c r="L25" s="11" t="n"/>
      <c r="M25" s="9" t="inlineStr">
        <is>
          <t>deferred_tax_assets</t>
        </is>
      </c>
      <c r="N25" s="9" t="inlineStr"/>
    </row>
    <row r="26">
      <c r="A26" s="9" t="n">
        <v>22</v>
      </c>
      <c r="B26" s="9" t="inlineStr">
        <is>
          <t>balance_sheet</t>
        </is>
      </c>
      <c r="C26" s="9" t="inlineStr">
        <is>
          <t>14</t>
        </is>
      </c>
      <c r="D26" s="9" t="inlineStr">
        <is>
          <t>Deferred income tax assets</t>
        </is>
      </c>
      <c r="E26" s="9" t="inlineStr">
        <is>
          <t>FY2024</t>
        </is>
      </c>
      <c r="F26" s="9" t="inlineStr">
        <is>
          <t>as_reported</t>
        </is>
      </c>
      <c r="G26" s="10" t="n">
        <v>3297</v>
      </c>
      <c r="H26" s="9" t="inlineStr">
        <is>
          <t>millions</t>
        </is>
      </c>
      <c r="I26" s="9" t="inlineStr">
        <is>
          <t>currency</t>
        </is>
      </c>
      <c r="J26" s="9" t="inlineStr">
        <is>
          <t>ZAR</t>
        </is>
      </c>
      <c r="K26" s="11" t="n"/>
      <c r="L26" s="11" t="n"/>
      <c r="M26" s="9" t="inlineStr">
        <is>
          <t>deferred_tax_assets</t>
        </is>
      </c>
      <c r="N26" s="9" t="inlineStr">
        <is>
          <t>IMPORTANT: balance sheet comparative NOT restated (IFRS 5 does not require it) - basis is as_reported, unlike the income statement</t>
        </is>
      </c>
    </row>
    <row r="27">
      <c r="A27" s="9" t="n">
        <v>23</v>
      </c>
      <c r="B27" s="9" t="inlineStr">
        <is>
          <t>balance_sheet</t>
        </is>
      </c>
      <c r="C27" s="9" t="inlineStr">
        <is>
          <t>15</t>
        </is>
      </c>
      <c r="D27" s="9" t="inlineStr">
        <is>
          <t>Trade and other receivables (non-current)</t>
        </is>
      </c>
      <c r="E27" s="9" t="inlineStr">
        <is>
          <t>FY2025</t>
        </is>
      </c>
      <c r="F27" s="9" t="inlineStr">
        <is>
          <t>as_reported</t>
        </is>
      </c>
      <c r="G27" s="10" t="n">
        <v>585</v>
      </c>
      <c r="H27" s="9" t="inlineStr">
        <is>
          <t>millions</t>
        </is>
      </c>
      <c r="I27" s="9" t="inlineStr">
        <is>
          <t>currency</t>
        </is>
      </c>
      <c r="J27" s="9" t="inlineStr">
        <is>
          <t>ZAR</t>
        </is>
      </c>
      <c r="K27" s="11" t="n"/>
      <c r="L27" s="11" t="n"/>
      <c r="M27" s="9" t="inlineStr">
        <is>
          <t>trade_receivables_non_current</t>
        </is>
      </c>
      <c r="N27" s="9" t="inlineStr"/>
    </row>
    <row r="28">
      <c r="A28" s="9" t="n">
        <v>24</v>
      </c>
      <c r="B28" s="9" t="inlineStr">
        <is>
          <t>balance_sheet</t>
        </is>
      </c>
      <c r="C28" s="9" t="inlineStr">
        <is>
          <t>15</t>
        </is>
      </c>
      <c r="D28" s="9" t="inlineStr">
        <is>
          <t>Trade and other receivables (non-current)</t>
        </is>
      </c>
      <c r="E28" s="9" t="inlineStr">
        <is>
          <t>FY2024</t>
        </is>
      </c>
      <c r="F28" s="9" t="inlineStr">
        <is>
          <t>as_reported</t>
        </is>
      </c>
      <c r="G28" s="10" t="n">
        <v>416</v>
      </c>
      <c r="H28" s="9" t="inlineStr">
        <is>
          <t>millions</t>
        </is>
      </c>
      <c r="I28" s="9" t="inlineStr">
        <is>
          <t>currency</t>
        </is>
      </c>
      <c r="J28" s="9" t="inlineStr">
        <is>
          <t>ZAR</t>
        </is>
      </c>
      <c r="K28" s="11" t="n"/>
      <c r="L28" s="11" t="n"/>
      <c r="M28" s="9" t="inlineStr">
        <is>
          <t>trade_receivables_non_current</t>
        </is>
      </c>
      <c r="N28" s="9" t="inlineStr">
        <is>
          <t>IMPORTANT: balance sheet comparative NOT restated (IFRS 5 does not require it) - basis is as_reported, unlike the income statement</t>
        </is>
      </c>
    </row>
    <row r="29">
      <c r="A29" s="9" t="n">
        <v>25</v>
      </c>
      <c r="B29" s="9" t="inlineStr">
        <is>
          <t>balance_sheet</t>
        </is>
      </c>
      <c r="C29" s="9" t="inlineStr"/>
      <c r="D29" s="9" t="inlineStr">
        <is>
          <t>Current assets</t>
        </is>
      </c>
      <c r="E29" s="9" t="inlineStr">
        <is>
          <t>FY2025</t>
        </is>
      </c>
      <c r="F29" s="9" t="inlineStr">
        <is>
          <t>as_reported</t>
        </is>
      </c>
      <c r="G29" s="10" t="n">
        <v>52867</v>
      </c>
      <c r="H29" s="9" t="inlineStr">
        <is>
          <t>millions</t>
        </is>
      </c>
      <c r="I29" s="9" t="inlineStr">
        <is>
          <t>currency</t>
        </is>
      </c>
      <c r="J29" s="9" t="inlineStr">
        <is>
          <t>ZAR</t>
        </is>
      </c>
      <c r="K29" s="11" t="n"/>
      <c r="L29" s="11" t="n"/>
      <c r="M29" s="9" t="inlineStr">
        <is>
          <t>total_current_assets</t>
        </is>
      </c>
      <c r="N29" s="9" t="inlineStr"/>
    </row>
    <row r="30">
      <c r="A30" s="9" t="n">
        <v>26</v>
      </c>
      <c r="B30" s="9" t="inlineStr">
        <is>
          <t>balance_sheet</t>
        </is>
      </c>
      <c r="C30" s="9" t="inlineStr"/>
      <c r="D30" s="9" t="inlineStr">
        <is>
          <t>Current assets</t>
        </is>
      </c>
      <c r="E30" s="9" t="inlineStr">
        <is>
          <t>FY2024</t>
        </is>
      </c>
      <c r="F30" s="9" t="inlineStr">
        <is>
          <t>as_reported</t>
        </is>
      </c>
      <c r="G30" s="10" t="n">
        <v>50059</v>
      </c>
      <c r="H30" s="9" t="inlineStr">
        <is>
          <t>millions</t>
        </is>
      </c>
      <c r="I30" s="9" t="inlineStr">
        <is>
          <t>currency</t>
        </is>
      </c>
      <c r="J30" s="9" t="inlineStr">
        <is>
          <t>ZAR</t>
        </is>
      </c>
      <c r="K30" s="11" t="n"/>
      <c r="L30" s="11" t="n"/>
      <c r="M30" s="9" t="inlineStr">
        <is>
          <t>total_current_assets</t>
        </is>
      </c>
      <c r="N30" s="9" t="inlineStr">
        <is>
          <t>IMPORTANT: balance sheet comparative NOT restated (IFRS 5 does not require it) - basis is as_reported, unlike the income statement</t>
        </is>
      </c>
    </row>
    <row r="31">
      <c r="A31" s="9" t="n">
        <v>27</v>
      </c>
      <c r="B31" s="9" t="inlineStr">
        <is>
          <t>balance_sheet</t>
        </is>
      </c>
      <c r="C31" s="9" t="inlineStr">
        <is>
          <t>16</t>
        </is>
      </c>
      <c r="D31" s="9" t="inlineStr">
        <is>
          <t>Inventories</t>
        </is>
      </c>
      <c r="E31" s="9" t="inlineStr">
        <is>
          <t>FY2025</t>
        </is>
      </c>
      <c r="F31" s="9" t="inlineStr">
        <is>
          <t>as_reported</t>
        </is>
      </c>
      <c r="G31" s="10" t="n">
        <v>29748</v>
      </c>
      <c r="H31" s="9" t="inlineStr">
        <is>
          <t>millions</t>
        </is>
      </c>
      <c r="I31" s="9" t="inlineStr">
        <is>
          <t>currency</t>
        </is>
      </c>
      <c r="J31" s="9" t="inlineStr">
        <is>
          <t>ZAR</t>
        </is>
      </c>
      <c r="K31" s="11" t="n"/>
      <c r="L31" s="11" t="n"/>
      <c r="M31" s="9" t="inlineStr">
        <is>
          <t>inventories</t>
        </is>
      </c>
      <c r="N31" s="9" t="inlineStr"/>
    </row>
    <row r="32">
      <c r="A32" s="9" t="n">
        <v>28</v>
      </c>
      <c r="B32" s="9" t="inlineStr">
        <is>
          <t>balance_sheet</t>
        </is>
      </c>
      <c r="C32" s="9" t="inlineStr">
        <is>
          <t>16</t>
        </is>
      </c>
      <c r="D32" s="9" t="inlineStr">
        <is>
          <t>Inventories</t>
        </is>
      </c>
      <c r="E32" s="9" t="inlineStr">
        <is>
          <t>FY2024</t>
        </is>
      </c>
      <c r="F32" s="9" t="inlineStr">
        <is>
          <t>as_reported</t>
        </is>
      </c>
      <c r="G32" s="10" t="n">
        <v>28366</v>
      </c>
      <c r="H32" s="9" t="inlineStr">
        <is>
          <t>millions</t>
        </is>
      </c>
      <c r="I32" s="9" t="inlineStr">
        <is>
          <t>currency</t>
        </is>
      </c>
      <c r="J32" s="9" t="inlineStr">
        <is>
          <t>ZAR</t>
        </is>
      </c>
      <c r="K32" s="11" t="n"/>
      <c r="L32" s="11" t="n"/>
      <c r="M32" s="9" t="inlineStr">
        <is>
          <t>inventories</t>
        </is>
      </c>
      <c r="N32" s="9" t="inlineStr">
        <is>
          <t>IMPORTANT: balance sheet comparative NOT restated (IFRS 5 does not require it) - basis is as_reported, unlike the income statement</t>
        </is>
      </c>
    </row>
    <row r="33">
      <c r="A33" s="9" t="n">
        <v>29</v>
      </c>
      <c r="B33" s="9" t="inlineStr">
        <is>
          <t>balance_sheet</t>
        </is>
      </c>
      <c r="C33" s="9" t="inlineStr">
        <is>
          <t>15</t>
        </is>
      </c>
      <c r="D33" s="9" t="inlineStr">
        <is>
          <t>Trade and other receivables (current)</t>
        </is>
      </c>
      <c r="E33" s="9" t="inlineStr">
        <is>
          <t>FY2025</t>
        </is>
      </c>
      <c r="F33" s="9" t="inlineStr">
        <is>
          <t>as_reported</t>
        </is>
      </c>
      <c r="G33" s="10" t="n">
        <v>5706</v>
      </c>
      <c r="H33" s="9" t="inlineStr">
        <is>
          <t>millions</t>
        </is>
      </c>
      <c r="I33" s="9" t="inlineStr">
        <is>
          <t>currency</t>
        </is>
      </c>
      <c r="J33" s="9" t="inlineStr">
        <is>
          <t>ZAR</t>
        </is>
      </c>
      <c r="K33" s="11" t="n"/>
      <c r="L33" s="11" t="n"/>
      <c r="M33" s="9" t="inlineStr">
        <is>
          <t>trade_receivables_current</t>
        </is>
      </c>
      <c r="N33" s="9" t="inlineStr"/>
    </row>
    <row r="34">
      <c r="A34" s="9" t="n">
        <v>30</v>
      </c>
      <c r="B34" s="9" t="inlineStr">
        <is>
          <t>balance_sheet</t>
        </is>
      </c>
      <c r="C34" s="9" t="inlineStr">
        <is>
          <t>15</t>
        </is>
      </c>
      <c r="D34" s="9" t="inlineStr">
        <is>
          <t>Trade and other receivables (current)</t>
        </is>
      </c>
      <c r="E34" s="9" t="inlineStr">
        <is>
          <t>FY2024</t>
        </is>
      </c>
      <c r="F34" s="9" t="inlineStr">
        <is>
          <t>as_reported</t>
        </is>
      </c>
      <c r="G34" s="10" t="n">
        <v>6298</v>
      </c>
      <c r="H34" s="9" t="inlineStr">
        <is>
          <t>millions</t>
        </is>
      </c>
      <c r="I34" s="9" t="inlineStr">
        <is>
          <t>currency</t>
        </is>
      </c>
      <c r="J34" s="9" t="inlineStr">
        <is>
          <t>ZAR</t>
        </is>
      </c>
      <c r="K34" s="11" t="n"/>
      <c r="L34" s="11" t="n"/>
      <c r="M34" s="9" t="inlineStr">
        <is>
          <t>trade_receivables_current</t>
        </is>
      </c>
      <c r="N34" s="9" t="inlineStr">
        <is>
          <t>IMPORTANT: balance sheet comparative NOT restated (IFRS 5 does not require it) - basis is as_reported, unlike the income statement</t>
        </is>
      </c>
    </row>
    <row r="35">
      <c r="A35" s="9" t="n">
        <v>31</v>
      </c>
      <c r="B35" s="9" t="inlineStr">
        <is>
          <t>balance_sheet</t>
        </is>
      </c>
      <c r="C35" s="9" t="inlineStr"/>
      <c r="D35" s="9" t="inlineStr">
        <is>
          <t>Current income tax assets</t>
        </is>
      </c>
      <c r="E35" s="9" t="inlineStr">
        <is>
          <t>FY2025</t>
        </is>
      </c>
      <c r="F35" s="9" t="inlineStr">
        <is>
          <t>as_reported</t>
        </is>
      </c>
      <c r="G35" s="10" t="n">
        <v>740</v>
      </c>
      <c r="H35" s="9" t="inlineStr">
        <is>
          <t>millions</t>
        </is>
      </c>
      <c r="I35" s="9" t="inlineStr">
        <is>
          <t>currency</t>
        </is>
      </c>
      <c r="J35" s="9" t="inlineStr">
        <is>
          <t>ZAR</t>
        </is>
      </c>
      <c r="K35" s="11" t="n"/>
      <c r="L35" s="11" t="n"/>
      <c r="M35" s="9" t="inlineStr">
        <is>
          <t>current_tax_assets</t>
        </is>
      </c>
      <c r="N35" s="9" t="inlineStr"/>
    </row>
    <row r="36">
      <c r="A36" s="9" t="n">
        <v>32</v>
      </c>
      <c r="B36" s="9" t="inlineStr">
        <is>
          <t>balance_sheet</t>
        </is>
      </c>
      <c r="C36" s="9" t="inlineStr"/>
      <c r="D36" s="9" t="inlineStr">
        <is>
          <t>Current income tax assets</t>
        </is>
      </c>
      <c r="E36" s="9" t="inlineStr">
        <is>
          <t>FY2024</t>
        </is>
      </c>
      <c r="F36" s="9" t="inlineStr">
        <is>
          <t>as_reported</t>
        </is>
      </c>
      <c r="G36" s="10" t="n">
        <v>736</v>
      </c>
      <c r="H36" s="9" t="inlineStr">
        <is>
          <t>millions</t>
        </is>
      </c>
      <c r="I36" s="9" t="inlineStr">
        <is>
          <t>currency</t>
        </is>
      </c>
      <c r="J36" s="9" t="inlineStr">
        <is>
          <t>ZAR</t>
        </is>
      </c>
      <c r="K36" s="11" t="n"/>
      <c r="L36" s="11" t="n"/>
      <c r="M36" s="9" t="inlineStr">
        <is>
          <t>current_tax_assets</t>
        </is>
      </c>
      <c r="N36" s="9" t="inlineStr">
        <is>
          <t>IMPORTANT: balance sheet comparative NOT restated (IFRS 5 does not require it) - basis is as_reported, unlike the income statement</t>
        </is>
      </c>
    </row>
    <row r="37">
      <c r="A37" s="9" t="n">
        <v>33</v>
      </c>
      <c r="B37" s="9" t="inlineStr">
        <is>
          <t>balance_sheet</t>
        </is>
      </c>
      <c r="C37" s="9" t="inlineStr">
        <is>
          <t>11</t>
        </is>
      </c>
      <c r="D37" s="9" t="inlineStr">
        <is>
          <t>Investment in insurance cell captive arrangements (current)</t>
        </is>
      </c>
      <c r="E37" s="9" t="inlineStr">
        <is>
          <t>FY2025</t>
        </is>
      </c>
      <c r="F37" s="9" t="inlineStr">
        <is>
          <t>as_reported</t>
        </is>
      </c>
      <c r="G37" s="10" t="n">
        <v>92</v>
      </c>
      <c r="H37" s="9" t="inlineStr">
        <is>
          <t>millions</t>
        </is>
      </c>
      <c r="I37" s="9" t="inlineStr">
        <is>
          <t>currency</t>
        </is>
      </c>
      <c r="J37" s="9" t="inlineStr">
        <is>
          <t>ZAR</t>
        </is>
      </c>
      <c r="K37" s="11" t="n"/>
      <c r="L37" s="11" t="n"/>
      <c r="M37" s="9" t="inlineStr">
        <is>
          <t>insurance_cell_captive_current</t>
        </is>
      </c>
      <c r="N37" s="9" t="inlineStr"/>
    </row>
    <row r="38">
      <c r="A38" s="9" t="n">
        <v>34</v>
      </c>
      <c r="B38" s="9" t="inlineStr">
        <is>
          <t>balance_sheet</t>
        </is>
      </c>
      <c r="C38" s="9" t="inlineStr">
        <is>
          <t>11</t>
        </is>
      </c>
      <c r="D38" s="9" t="inlineStr">
        <is>
          <t>Investment in insurance cell captive arrangements (current)</t>
        </is>
      </c>
      <c r="E38" s="9" t="inlineStr">
        <is>
          <t>FY2024</t>
        </is>
      </c>
      <c r="F38" s="9" t="inlineStr">
        <is>
          <t>as_reported</t>
        </is>
      </c>
      <c r="G38" s="10" t="n">
        <v>402</v>
      </c>
      <c r="H38" s="9" t="inlineStr">
        <is>
          <t>millions</t>
        </is>
      </c>
      <c r="I38" s="9" t="inlineStr">
        <is>
          <t>currency</t>
        </is>
      </c>
      <c r="J38" s="9" t="inlineStr">
        <is>
          <t>ZAR</t>
        </is>
      </c>
      <c r="K38" s="11" t="n"/>
      <c r="L38" s="11" t="n"/>
      <c r="M38" s="9" t="inlineStr">
        <is>
          <t>insurance_cell_captive_current</t>
        </is>
      </c>
      <c r="N38" s="9" t="inlineStr">
        <is>
          <t>IMPORTANT: balance sheet comparative NOT restated (IFRS 5 does not require it) - basis is as_reported, unlike the income statement</t>
        </is>
      </c>
    </row>
    <row r="39">
      <c r="A39" s="9" t="n">
        <v>35</v>
      </c>
      <c r="B39" s="9" t="inlineStr">
        <is>
          <t>balance_sheet</t>
        </is>
      </c>
      <c r="C39" s="9" t="inlineStr">
        <is>
          <t>12</t>
        </is>
      </c>
      <c r="D39" s="9" t="inlineStr">
        <is>
          <t>Government bonds and bills (current)</t>
        </is>
      </c>
      <c r="E39" s="9" t="inlineStr">
        <is>
          <t>FY2025</t>
        </is>
      </c>
      <c r="F39" s="9" t="inlineStr">
        <is>
          <t>as_reported</t>
        </is>
      </c>
      <c r="G39" s="10" t="n">
        <v>33</v>
      </c>
      <c r="H39" s="9" t="inlineStr">
        <is>
          <t>millions</t>
        </is>
      </c>
      <c r="I39" s="9" t="inlineStr">
        <is>
          <t>currency</t>
        </is>
      </c>
      <c r="J39" s="9" t="inlineStr">
        <is>
          <t>ZAR</t>
        </is>
      </c>
      <c r="K39" s="11" t="n"/>
      <c r="L39" s="11" t="n"/>
      <c r="M39" s="9" t="inlineStr">
        <is>
          <t>government_bonds_current</t>
        </is>
      </c>
      <c r="N39" s="9" t="inlineStr"/>
    </row>
    <row r="40">
      <c r="A40" s="9" t="n">
        <v>36</v>
      </c>
      <c r="B40" s="9" t="inlineStr">
        <is>
          <t>balance_sheet</t>
        </is>
      </c>
      <c r="C40" s="9" t="inlineStr">
        <is>
          <t>12</t>
        </is>
      </c>
      <c r="D40" s="9" t="inlineStr">
        <is>
          <t>Government bonds and bills (current)</t>
        </is>
      </c>
      <c r="E40" s="9" t="inlineStr">
        <is>
          <t>FY2024</t>
        </is>
      </c>
      <c r="F40" s="9" t="inlineStr">
        <is>
          <t>as_reported</t>
        </is>
      </c>
      <c r="G40" s="10" t="n">
        <v>886</v>
      </c>
      <c r="H40" s="9" t="inlineStr">
        <is>
          <t>millions</t>
        </is>
      </c>
      <c r="I40" s="9" t="inlineStr">
        <is>
          <t>currency</t>
        </is>
      </c>
      <c r="J40" s="9" t="inlineStr">
        <is>
          <t>ZAR</t>
        </is>
      </c>
      <c r="K40" s="11" t="n"/>
      <c r="L40" s="11" t="n"/>
      <c r="M40" s="9" t="inlineStr">
        <is>
          <t>government_bonds_current</t>
        </is>
      </c>
      <c r="N40" s="9" t="inlineStr">
        <is>
          <t>IMPORTANT: balance sheet comparative NOT restated (IFRS 5 does not require it) - basis is as_reported, unlike the income statement</t>
        </is>
      </c>
    </row>
    <row r="41">
      <c r="A41" s="9" t="n">
        <v>37</v>
      </c>
      <c r="B41" s="9" t="inlineStr">
        <is>
          <t>balance_sheet</t>
        </is>
      </c>
      <c r="C41" s="9" t="inlineStr">
        <is>
          <t>13</t>
        </is>
      </c>
      <c r="D41" s="9" t="inlineStr">
        <is>
          <t>Loans receivable (current)</t>
        </is>
      </c>
      <c r="E41" s="9" t="inlineStr">
        <is>
          <t>FY2025</t>
        </is>
      </c>
      <c r="F41" s="9" t="inlineStr">
        <is>
          <t>as_reported</t>
        </is>
      </c>
      <c r="G41" s="10" t="n">
        <v>1009</v>
      </c>
      <c r="H41" s="9" t="inlineStr">
        <is>
          <t>millions</t>
        </is>
      </c>
      <c r="I41" s="9" t="inlineStr">
        <is>
          <t>currency</t>
        </is>
      </c>
      <c r="J41" s="9" t="inlineStr">
        <is>
          <t>ZAR</t>
        </is>
      </c>
      <c r="K41" s="11" t="n"/>
      <c r="L41" s="11" t="n"/>
      <c r="M41" s="9" t="inlineStr">
        <is>
          <t>loans_receivable_current</t>
        </is>
      </c>
      <c r="N41" s="9" t="inlineStr"/>
    </row>
    <row r="42">
      <c r="A42" s="9" t="n">
        <v>38</v>
      </c>
      <c r="B42" s="9" t="inlineStr">
        <is>
          <t>balance_sheet</t>
        </is>
      </c>
      <c r="C42" s="9" t="inlineStr">
        <is>
          <t>13</t>
        </is>
      </c>
      <c r="D42" s="9" t="inlineStr">
        <is>
          <t>Loans receivable (current)</t>
        </is>
      </c>
      <c r="E42" s="9" t="inlineStr">
        <is>
          <t>FY2024</t>
        </is>
      </c>
      <c r="F42" s="9" t="inlineStr">
        <is>
          <t>as_reported</t>
        </is>
      </c>
      <c r="G42" s="10" t="n">
        <v>680</v>
      </c>
      <c r="H42" s="9" t="inlineStr">
        <is>
          <t>millions</t>
        </is>
      </c>
      <c r="I42" s="9" t="inlineStr">
        <is>
          <t>currency</t>
        </is>
      </c>
      <c r="J42" s="9" t="inlineStr">
        <is>
          <t>ZAR</t>
        </is>
      </c>
      <c r="K42" s="11" t="n"/>
      <c r="L42" s="11" t="n"/>
      <c r="M42" s="9" t="inlineStr">
        <is>
          <t>loans_receivable_current</t>
        </is>
      </c>
      <c r="N42" s="9" t="inlineStr">
        <is>
          <t>IMPORTANT: balance sheet comparative NOT restated (IFRS 5 does not require it) - basis is as_reported, unlike the income statement</t>
        </is>
      </c>
    </row>
    <row r="43">
      <c r="A43" s="9" t="n">
        <v>39</v>
      </c>
      <c r="B43" s="9" t="inlineStr">
        <is>
          <t>balance_sheet</t>
        </is>
      </c>
      <c r="C43" s="9" t="inlineStr"/>
      <c r="D43" s="9" t="inlineStr">
        <is>
          <t>Restricted cash</t>
        </is>
      </c>
      <c r="E43" s="9" t="inlineStr">
        <is>
          <t>FY2025</t>
        </is>
      </c>
      <c r="F43" s="9" t="inlineStr">
        <is>
          <t>as_reported</t>
        </is>
      </c>
      <c r="G43" s="10" t="n">
        <v>5</v>
      </c>
      <c r="H43" s="9" t="inlineStr">
        <is>
          <t>millions</t>
        </is>
      </c>
      <c r="I43" s="9" t="inlineStr">
        <is>
          <t>currency</t>
        </is>
      </c>
      <c r="J43" s="9" t="inlineStr">
        <is>
          <t>ZAR</t>
        </is>
      </c>
      <c r="K43" s="11" t="n"/>
      <c r="L43" s="11" t="n"/>
      <c r="M43" s="9" t="inlineStr">
        <is>
          <t>restricted_cash</t>
        </is>
      </c>
      <c r="N43" s="9" t="inlineStr"/>
    </row>
    <row r="44">
      <c r="A44" s="9" t="n">
        <v>40</v>
      </c>
      <c r="B44" s="9" t="inlineStr">
        <is>
          <t>balance_sheet</t>
        </is>
      </c>
      <c r="C44" s="9" t="inlineStr"/>
      <c r="D44" s="9" t="inlineStr">
        <is>
          <t>Restricted cash</t>
        </is>
      </c>
      <c r="E44" s="9" t="inlineStr">
        <is>
          <t>FY2024</t>
        </is>
      </c>
      <c r="F44" s="9" t="inlineStr">
        <is>
          <t>as_reported</t>
        </is>
      </c>
      <c r="G44" s="10" t="n">
        <v>3</v>
      </c>
      <c r="H44" s="9" t="inlineStr">
        <is>
          <t>millions</t>
        </is>
      </c>
      <c r="I44" s="9" t="inlineStr">
        <is>
          <t>currency</t>
        </is>
      </c>
      <c r="J44" s="9" t="inlineStr">
        <is>
          <t>ZAR</t>
        </is>
      </c>
      <c r="K44" s="11" t="n"/>
      <c r="L44" s="11" t="n"/>
      <c r="M44" s="9" t="inlineStr">
        <is>
          <t>restricted_cash</t>
        </is>
      </c>
      <c r="N44" s="9" t="inlineStr">
        <is>
          <t>IMPORTANT: balance sheet comparative NOT restated (IFRS 5 does not require it) - basis is as_reported, unlike the income statement</t>
        </is>
      </c>
    </row>
    <row r="45">
      <c r="A45" s="9" t="n">
        <v>41</v>
      </c>
      <c r="B45" s="9" t="inlineStr">
        <is>
          <t>balance_sheet</t>
        </is>
      </c>
      <c r="C45" s="9" t="inlineStr">
        <is>
          <t>43.4.1</t>
        </is>
      </c>
      <c r="D45" s="9" t="inlineStr">
        <is>
          <t>Cash and cash equivalents</t>
        </is>
      </c>
      <c r="E45" s="9" t="inlineStr">
        <is>
          <t>FY2025</t>
        </is>
      </c>
      <c r="F45" s="9" t="inlineStr">
        <is>
          <t>as_reported</t>
        </is>
      </c>
      <c r="G45" s="10" t="n">
        <v>9946</v>
      </c>
      <c r="H45" s="9" t="inlineStr">
        <is>
          <t>millions</t>
        </is>
      </c>
      <c r="I45" s="9" t="inlineStr">
        <is>
          <t>currency</t>
        </is>
      </c>
      <c r="J45" s="9" t="inlineStr">
        <is>
          <t>ZAR</t>
        </is>
      </c>
      <c r="K45" s="11" t="n"/>
      <c r="L45" s="11" t="n"/>
      <c r="M45" s="9" t="inlineStr">
        <is>
          <t>cash_and_equivalents</t>
        </is>
      </c>
      <c r="N45" s="9" t="inlineStr"/>
    </row>
    <row r="46">
      <c r="A46" s="9" t="n">
        <v>42</v>
      </c>
      <c r="B46" s="9" t="inlineStr">
        <is>
          <t>balance_sheet</t>
        </is>
      </c>
      <c r="C46" s="9" t="inlineStr">
        <is>
          <t>43.4.1</t>
        </is>
      </c>
      <c r="D46" s="9" t="inlineStr">
        <is>
          <t>Cash and cash equivalents</t>
        </is>
      </c>
      <c r="E46" s="9" t="inlineStr">
        <is>
          <t>FY2024</t>
        </is>
      </c>
      <c r="F46" s="9" t="inlineStr">
        <is>
          <t>as_reported</t>
        </is>
      </c>
      <c r="G46" s="10" t="n">
        <v>11732</v>
      </c>
      <c r="H46" s="9" t="inlineStr">
        <is>
          <t>millions</t>
        </is>
      </c>
      <c r="I46" s="9" t="inlineStr">
        <is>
          <t>currency</t>
        </is>
      </c>
      <c r="J46" s="9" t="inlineStr">
        <is>
          <t>ZAR</t>
        </is>
      </c>
      <c r="K46" s="11" t="n"/>
      <c r="L46" s="11" t="n"/>
      <c r="M46" s="9" t="inlineStr">
        <is>
          <t>cash_and_equivalents</t>
        </is>
      </c>
      <c r="N46" s="9" t="inlineStr">
        <is>
          <t>IMPORTANT: balance sheet comparative NOT restated (IFRS 5 does not require it) - basis is as_reported, unlike the income statement</t>
        </is>
      </c>
    </row>
    <row r="47">
      <c r="A47" s="9" t="n">
        <v>43</v>
      </c>
      <c r="B47" s="9" t="inlineStr">
        <is>
          <t>balance_sheet</t>
        </is>
      </c>
      <c r="C47" s="9" t="inlineStr">
        <is>
          <t>4</t>
        </is>
      </c>
      <c r="D47" s="9" t="inlineStr">
        <is>
          <t>Assets classified as held for sale</t>
        </is>
      </c>
      <c r="E47" s="9" t="inlineStr">
        <is>
          <t>FY2025</t>
        </is>
      </c>
      <c r="F47" s="9" t="inlineStr">
        <is>
          <t>as_reported</t>
        </is>
      </c>
      <c r="G47" s="10" t="n">
        <v>5588</v>
      </c>
      <c r="H47" s="9" t="inlineStr">
        <is>
          <t>millions</t>
        </is>
      </c>
      <c r="I47" s="9" t="inlineStr">
        <is>
          <t>currency</t>
        </is>
      </c>
      <c r="J47" s="9" t="inlineStr">
        <is>
          <t>ZAR</t>
        </is>
      </c>
      <c r="K47" s="11" t="n"/>
      <c r="L47" s="11" t="n"/>
      <c r="M47" s="9" t="inlineStr">
        <is>
          <t>assets_held_for_sale</t>
        </is>
      </c>
      <c r="N47" s="9" t="inlineStr"/>
    </row>
    <row r="48">
      <c r="A48" s="9" t="n">
        <v>44</v>
      </c>
      <c r="B48" s="9" t="inlineStr">
        <is>
          <t>balance_sheet</t>
        </is>
      </c>
      <c r="C48" s="9" t="inlineStr">
        <is>
          <t>4</t>
        </is>
      </c>
      <c r="D48" s="9" t="inlineStr">
        <is>
          <t>Assets classified as held for sale</t>
        </is>
      </c>
      <c r="E48" s="9" t="inlineStr">
        <is>
          <t>FY2024</t>
        </is>
      </c>
      <c r="F48" s="9" t="inlineStr">
        <is>
          <t>as_reported</t>
        </is>
      </c>
      <c r="G48" s="10" t="n">
        <v>956</v>
      </c>
      <c r="H48" s="9" t="inlineStr">
        <is>
          <t>millions</t>
        </is>
      </c>
      <c r="I48" s="9" t="inlineStr">
        <is>
          <t>currency</t>
        </is>
      </c>
      <c r="J48" s="9" t="inlineStr">
        <is>
          <t>ZAR</t>
        </is>
      </c>
      <c r="K48" s="11" t="n"/>
      <c r="L48" s="11" t="n"/>
      <c r="M48" s="9" t="inlineStr">
        <is>
          <t>assets_held_for_sale</t>
        </is>
      </c>
      <c r="N48" s="9" t="inlineStr">
        <is>
          <t>IMPORTANT: balance sheet comparative NOT restated (IFRS 5 does not require it) - basis is as_reported, unlike the income statement</t>
        </is>
      </c>
    </row>
    <row r="49">
      <c r="A49" s="9" t="n">
        <v>45</v>
      </c>
      <c r="B49" s="9" t="inlineStr">
        <is>
          <t>balance_sheet</t>
        </is>
      </c>
      <c r="C49" s="9" t="inlineStr"/>
      <c r="D49" s="9" t="inlineStr">
        <is>
          <t>Total assets</t>
        </is>
      </c>
      <c r="E49" s="9" t="inlineStr">
        <is>
          <t>FY2025</t>
        </is>
      </c>
      <c r="F49" s="9" t="inlineStr">
        <is>
          <t>as_reported</t>
        </is>
      </c>
      <c r="G49" s="10" t="n">
        <v>124944</v>
      </c>
      <c r="H49" s="9" t="inlineStr">
        <is>
          <t>millions</t>
        </is>
      </c>
      <c r="I49" s="9" t="inlineStr">
        <is>
          <t>currency</t>
        </is>
      </c>
      <c r="J49" s="9" t="inlineStr">
        <is>
          <t>ZAR</t>
        </is>
      </c>
      <c r="K49" s="11" t="n"/>
      <c r="L49" s="11" t="n"/>
      <c r="M49" s="9" t="inlineStr">
        <is>
          <t>total_assets</t>
        </is>
      </c>
      <c r="N49" s="9" t="inlineStr"/>
    </row>
    <row r="50">
      <c r="A50" s="9" t="n">
        <v>46</v>
      </c>
      <c r="B50" s="9" t="inlineStr">
        <is>
          <t>balance_sheet</t>
        </is>
      </c>
      <c r="C50" s="9" t="inlineStr"/>
      <c r="D50" s="9" t="inlineStr">
        <is>
          <t>Total assets</t>
        </is>
      </c>
      <c r="E50" s="9" t="inlineStr">
        <is>
          <t>FY2024</t>
        </is>
      </c>
      <c r="F50" s="9" t="inlineStr">
        <is>
          <t>as_reported</t>
        </is>
      </c>
      <c r="G50" s="10" t="n">
        <v>112328</v>
      </c>
      <c r="H50" s="9" t="inlineStr">
        <is>
          <t>millions</t>
        </is>
      </c>
      <c r="I50" s="9" t="inlineStr">
        <is>
          <t>currency</t>
        </is>
      </c>
      <c r="J50" s="9" t="inlineStr">
        <is>
          <t>ZAR</t>
        </is>
      </c>
      <c r="K50" s="11" t="n"/>
      <c r="L50" s="11" t="n"/>
      <c r="M50" s="9" t="inlineStr">
        <is>
          <t>total_assets</t>
        </is>
      </c>
      <c r="N50" s="9" t="inlineStr">
        <is>
          <t>IMPORTANT: balance sheet comparative NOT restated (IFRS 5 does not require it) - basis is as_reported, unlike the income statement</t>
        </is>
      </c>
    </row>
    <row r="51">
      <c r="A51" s="9" t="n">
        <v>47</v>
      </c>
      <c r="B51" s="9" t="inlineStr">
        <is>
          <t>balance_sheet</t>
        </is>
      </c>
      <c r="C51" s="9" t="inlineStr">
        <is>
          <t>17</t>
        </is>
      </c>
      <c r="D51" s="9" t="inlineStr">
        <is>
          <t>Stated capital</t>
        </is>
      </c>
      <c r="E51" s="9" t="inlineStr">
        <is>
          <t>FY2025</t>
        </is>
      </c>
      <c r="F51" s="9" t="inlineStr">
        <is>
          <t>as_reported</t>
        </is>
      </c>
      <c r="G51" s="10" t="n">
        <v>7516</v>
      </c>
      <c r="H51" s="9" t="inlineStr">
        <is>
          <t>millions</t>
        </is>
      </c>
      <c r="I51" s="9" t="inlineStr">
        <is>
          <t>currency</t>
        </is>
      </c>
      <c r="J51" s="9" t="inlineStr">
        <is>
          <t>ZAR</t>
        </is>
      </c>
      <c r="K51" s="11" t="n"/>
      <c r="L51" s="11" t="n"/>
      <c r="M51" s="9" t="inlineStr">
        <is>
          <t>stated_capital</t>
        </is>
      </c>
      <c r="N51" s="9" t="inlineStr"/>
    </row>
    <row r="52">
      <c r="A52" s="9" t="n">
        <v>48</v>
      </c>
      <c r="B52" s="9" t="inlineStr">
        <is>
          <t>balance_sheet</t>
        </is>
      </c>
      <c r="C52" s="9" t="inlineStr">
        <is>
          <t>17</t>
        </is>
      </c>
      <c r="D52" s="9" t="inlineStr">
        <is>
          <t>Stated capital</t>
        </is>
      </c>
      <c r="E52" s="9" t="inlineStr">
        <is>
          <t>FY2024</t>
        </is>
      </c>
      <c r="F52" s="9" t="inlineStr">
        <is>
          <t>as_reported</t>
        </is>
      </c>
      <c r="G52" s="10" t="n">
        <v>7516</v>
      </c>
      <c r="H52" s="9" t="inlineStr">
        <is>
          <t>millions</t>
        </is>
      </c>
      <c r="I52" s="9" t="inlineStr">
        <is>
          <t>currency</t>
        </is>
      </c>
      <c r="J52" s="9" t="inlineStr">
        <is>
          <t>ZAR</t>
        </is>
      </c>
      <c r="K52" s="11" t="n"/>
      <c r="L52" s="11" t="n"/>
      <c r="M52" s="9" t="inlineStr">
        <is>
          <t>stated_capital</t>
        </is>
      </c>
      <c r="N52" s="9" t="inlineStr">
        <is>
          <t>IMPORTANT: balance sheet comparative NOT restated (IFRS 5 does not require it) - basis is as_reported, unlike the income statement</t>
        </is>
      </c>
    </row>
    <row r="53">
      <c r="A53" s="9" t="n">
        <v>49</v>
      </c>
      <c r="B53" s="9" t="inlineStr">
        <is>
          <t>balance_sheet</t>
        </is>
      </c>
      <c r="C53" s="9" t="inlineStr">
        <is>
          <t>17</t>
        </is>
      </c>
      <c r="D53" s="9" t="inlineStr">
        <is>
          <t>Treasury shares</t>
        </is>
      </c>
      <c r="E53" s="9" t="inlineStr">
        <is>
          <t>FY2025</t>
        </is>
      </c>
      <c r="F53" s="9" t="inlineStr">
        <is>
          <t>as_reported</t>
        </is>
      </c>
      <c r="G53" s="10" t="n">
        <v>-3756</v>
      </c>
      <c r="H53" s="9" t="inlineStr">
        <is>
          <t>millions</t>
        </is>
      </c>
      <c r="I53" s="9" t="inlineStr">
        <is>
          <t>currency</t>
        </is>
      </c>
      <c r="J53" s="9" t="inlineStr">
        <is>
          <t>ZAR</t>
        </is>
      </c>
      <c r="K53" s="11" t="n"/>
      <c r="L53" s="11" t="n"/>
      <c r="M53" s="9" t="inlineStr">
        <is>
          <t>treasury_shares</t>
        </is>
      </c>
      <c r="N53" s="9" t="inlineStr"/>
    </row>
    <row r="54">
      <c r="A54" s="9" t="n">
        <v>50</v>
      </c>
      <c r="B54" s="9" t="inlineStr">
        <is>
          <t>balance_sheet</t>
        </is>
      </c>
      <c r="C54" s="9" t="inlineStr">
        <is>
          <t>17</t>
        </is>
      </c>
      <c r="D54" s="9" t="inlineStr">
        <is>
          <t>Treasury shares</t>
        </is>
      </c>
      <c r="E54" s="9" t="inlineStr">
        <is>
          <t>FY2024</t>
        </is>
      </c>
      <c r="F54" s="9" t="inlineStr">
        <is>
          <t>as_reported</t>
        </is>
      </c>
      <c r="G54" s="10" t="n">
        <v>-2616</v>
      </c>
      <c r="H54" s="9" t="inlineStr">
        <is>
          <t>millions</t>
        </is>
      </c>
      <c r="I54" s="9" t="inlineStr">
        <is>
          <t>currency</t>
        </is>
      </c>
      <c r="J54" s="9" t="inlineStr">
        <is>
          <t>ZAR</t>
        </is>
      </c>
      <c r="K54" s="11" t="n"/>
      <c r="L54" s="11" t="n"/>
      <c r="M54" s="9" t="inlineStr">
        <is>
          <t>treasury_shares</t>
        </is>
      </c>
      <c r="N54" s="9" t="inlineStr">
        <is>
          <t>IMPORTANT: balance sheet comparative NOT restated (IFRS 5 does not require it) - basis is as_reported, unlike the income statement</t>
        </is>
      </c>
    </row>
    <row r="55">
      <c r="A55" s="9" t="n">
        <v>51</v>
      </c>
      <c r="B55" s="9" t="inlineStr">
        <is>
          <t>balance_sheet</t>
        </is>
      </c>
      <c r="C55" s="9" t="inlineStr">
        <is>
          <t>19</t>
        </is>
      </c>
      <c r="D55" s="9" t="inlineStr">
        <is>
          <t>Reserves</t>
        </is>
      </c>
      <c r="E55" s="9" t="inlineStr">
        <is>
          <t>FY2025</t>
        </is>
      </c>
      <c r="F55" s="9" t="inlineStr">
        <is>
          <t>as_reported</t>
        </is>
      </c>
      <c r="G55" s="10" t="n">
        <v>26434</v>
      </c>
      <c r="H55" s="9" t="inlineStr">
        <is>
          <t>millions</t>
        </is>
      </c>
      <c r="I55" s="9" t="inlineStr">
        <is>
          <t>currency</t>
        </is>
      </c>
      <c r="J55" s="9" t="inlineStr">
        <is>
          <t>ZAR</t>
        </is>
      </c>
      <c r="K55" s="11" t="n"/>
      <c r="L55" s="11" t="n"/>
      <c r="M55" s="9" t="inlineStr">
        <is>
          <t>reserves</t>
        </is>
      </c>
      <c r="N55" s="9" t="inlineStr"/>
    </row>
    <row r="56">
      <c r="A56" s="9" t="n">
        <v>52</v>
      </c>
      <c r="B56" s="9" t="inlineStr">
        <is>
          <t>balance_sheet</t>
        </is>
      </c>
      <c r="C56" s="9" t="inlineStr">
        <is>
          <t>19</t>
        </is>
      </c>
      <c r="D56" s="9" t="inlineStr">
        <is>
          <t>Reserves</t>
        </is>
      </c>
      <c r="E56" s="9" t="inlineStr">
        <is>
          <t>FY2024</t>
        </is>
      </c>
      <c r="F56" s="9" t="inlineStr">
        <is>
          <t>as_reported</t>
        </is>
      </c>
      <c r="G56" s="10" t="n">
        <v>22891</v>
      </c>
      <c r="H56" s="9" t="inlineStr">
        <is>
          <t>millions</t>
        </is>
      </c>
      <c r="I56" s="9" t="inlineStr">
        <is>
          <t>currency</t>
        </is>
      </c>
      <c r="J56" s="9" t="inlineStr">
        <is>
          <t>ZAR</t>
        </is>
      </c>
      <c r="K56" s="11" t="n"/>
      <c r="L56" s="11" t="n"/>
      <c r="M56" s="9" t="inlineStr">
        <is>
          <t>reserves</t>
        </is>
      </c>
      <c r="N56" s="9" t="inlineStr">
        <is>
          <t>IMPORTANT: balance sheet comparative NOT restated (IFRS 5 does not require it) - basis is as_reported, unlike the income statement</t>
        </is>
      </c>
    </row>
    <row r="57">
      <c r="A57" s="9" t="n">
        <v>53</v>
      </c>
      <c r="B57" s="9" t="inlineStr">
        <is>
          <t>balance_sheet</t>
        </is>
      </c>
      <c r="C57" s="9" t="inlineStr"/>
      <c r="D57" s="9" t="inlineStr">
        <is>
          <t>Non-controlling interest</t>
        </is>
      </c>
      <c r="E57" s="9" t="inlineStr">
        <is>
          <t>FY2025</t>
        </is>
      </c>
      <c r="F57" s="9" t="inlineStr">
        <is>
          <t>as_reported</t>
        </is>
      </c>
      <c r="G57" s="10" t="n">
        <v>-77</v>
      </c>
      <c r="H57" s="9" t="inlineStr">
        <is>
          <t>millions</t>
        </is>
      </c>
      <c r="I57" s="9" t="inlineStr">
        <is>
          <t>currency</t>
        </is>
      </c>
      <c r="J57" s="9" t="inlineStr">
        <is>
          <t>ZAR</t>
        </is>
      </c>
      <c r="K57" s="11" t="n"/>
      <c r="L57" s="11" t="n"/>
      <c r="M57" s="9" t="inlineStr">
        <is>
          <t>non_controlling_interest</t>
        </is>
      </c>
      <c r="N57" s="9" t="inlineStr"/>
    </row>
    <row r="58">
      <c r="A58" s="9" t="n">
        <v>54</v>
      </c>
      <c r="B58" s="9" t="inlineStr">
        <is>
          <t>balance_sheet</t>
        </is>
      </c>
      <c r="C58" s="9" t="inlineStr"/>
      <c r="D58" s="9" t="inlineStr">
        <is>
          <t>Non-controlling interest</t>
        </is>
      </c>
      <c r="E58" s="9" t="inlineStr">
        <is>
          <t>FY2024</t>
        </is>
      </c>
      <c r="F58" s="9" t="inlineStr">
        <is>
          <t>as_reported</t>
        </is>
      </c>
      <c r="G58" s="10" t="n">
        <v>-67</v>
      </c>
      <c r="H58" s="9" t="inlineStr">
        <is>
          <t>millions</t>
        </is>
      </c>
      <c r="I58" s="9" t="inlineStr">
        <is>
          <t>currency</t>
        </is>
      </c>
      <c r="J58" s="9" t="inlineStr">
        <is>
          <t>ZAR</t>
        </is>
      </c>
      <c r="K58" s="11" t="n"/>
      <c r="L58" s="11" t="n"/>
      <c r="M58" s="9" t="inlineStr">
        <is>
          <t>non_controlling_interest</t>
        </is>
      </c>
      <c r="N58" s="9" t="inlineStr">
        <is>
          <t>IMPORTANT: balance sheet comparative NOT restated (IFRS 5 does not require it) - basis is as_reported, unlike the income statement</t>
        </is>
      </c>
    </row>
    <row r="59">
      <c r="A59" s="9" t="n">
        <v>55</v>
      </c>
      <c r="B59" s="9" t="inlineStr">
        <is>
          <t>balance_sheet</t>
        </is>
      </c>
      <c r="C59" s="9" t="inlineStr"/>
      <c r="D59" s="9" t="inlineStr">
        <is>
          <t>Total equity</t>
        </is>
      </c>
      <c r="E59" s="9" t="inlineStr">
        <is>
          <t>FY2025</t>
        </is>
      </c>
      <c r="F59" s="9" t="inlineStr">
        <is>
          <t>as_reported</t>
        </is>
      </c>
      <c r="G59" s="10" t="n">
        <v>30117</v>
      </c>
      <c r="H59" s="9" t="inlineStr">
        <is>
          <t>millions</t>
        </is>
      </c>
      <c r="I59" s="9" t="inlineStr">
        <is>
          <t>currency</t>
        </is>
      </c>
      <c r="J59" s="9" t="inlineStr">
        <is>
          <t>ZAR</t>
        </is>
      </c>
      <c r="K59" s="11" t="n"/>
      <c r="L59" s="11" t="n"/>
      <c r="M59" s="9" t="inlineStr">
        <is>
          <t>total_equity</t>
        </is>
      </c>
      <c r="N59" s="9" t="inlineStr"/>
    </row>
    <row r="60">
      <c r="A60" s="9" t="n">
        <v>56</v>
      </c>
      <c r="B60" s="9" t="inlineStr">
        <is>
          <t>balance_sheet</t>
        </is>
      </c>
      <c r="C60" s="9" t="inlineStr"/>
      <c r="D60" s="9" t="inlineStr">
        <is>
          <t>Total equity</t>
        </is>
      </c>
      <c r="E60" s="9" t="inlineStr">
        <is>
          <t>FY2024</t>
        </is>
      </c>
      <c r="F60" s="9" t="inlineStr">
        <is>
          <t>as_reported</t>
        </is>
      </c>
      <c r="G60" s="10" t="n">
        <v>27724</v>
      </c>
      <c r="H60" s="9" t="inlineStr">
        <is>
          <t>millions</t>
        </is>
      </c>
      <c r="I60" s="9" t="inlineStr">
        <is>
          <t>currency</t>
        </is>
      </c>
      <c r="J60" s="9" t="inlineStr">
        <is>
          <t>ZAR</t>
        </is>
      </c>
      <c r="K60" s="11" t="n"/>
      <c r="L60" s="11" t="n"/>
      <c r="M60" s="9" t="inlineStr">
        <is>
          <t>total_equity</t>
        </is>
      </c>
      <c r="N60" s="9" t="inlineStr">
        <is>
          <t>IMPORTANT: balance sheet comparative NOT restated (IFRS 5 does not require it) - basis is as_reported, unlike the income statement</t>
        </is>
      </c>
    </row>
    <row r="61">
      <c r="A61" s="9" t="n">
        <v>57</v>
      </c>
      <c r="B61" s="9" t="inlineStr">
        <is>
          <t>balance_sheet</t>
        </is>
      </c>
      <c r="C61" s="9" t="inlineStr"/>
      <c r="D61" s="9" t="inlineStr">
        <is>
          <t>Non-current liabilities</t>
        </is>
      </c>
      <c r="E61" s="9" t="inlineStr">
        <is>
          <t>FY2025</t>
        </is>
      </c>
      <c r="F61" s="9" t="inlineStr">
        <is>
          <t>as_reported</t>
        </is>
      </c>
      <c r="G61" s="10" t="n">
        <v>50286</v>
      </c>
      <c r="H61" s="9" t="inlineStr">
        <is>
          <t>millions</t>
        </is>
      </c>
      <c r="I61" s="9" t="inlineStr">
        <is>
          <t>currency</t>
        </is>
      </c>
      <c r="J61" s="9" t="inlineStr">
        <is>
          <t>ZAR</t>
        </is>
      </c>
      <c r="K61" s="11" t="n"/>
      <c r="L61" s="11" t="n"/>
      <c r="M61" s="9" t="inlineStr">
        <is>
          <t>total_non_current_liabilities</t>
        </is>
      </c>
      <c r="N61" s="9" t="inlineStr"/>
    </row>
    <row r="62">
      <c r="A62" s="9" t="n">
        <v>58</v>
      </c>
      <c r="B62" s="9" t="inlineStr">
        <is>
          <t>balance_sheet</t>
        </is>
      </c>
      <c r="C62" s="9" t="inlineStr"/>
      <c r="D62" s="9" t="inlineStr">
        <is>
          <t>Non-current liabilities</t>
        </is>
      </c>
      <c r="E62" s="9" t="inlineStr">
        <is>
          <t>FY2024</t>
        </is>
      </c>
      <c r="F62" s="9" t="inlineStr">
        <is>
          <t>as_reported</t>
        </is>
      </c>
      <c r="G62" s="10" t="n">
        <v>43066</v>
      </c>
      <c r="H62" s="9" t="inlineStr">
        <is>
          <t>millions</t>
        </is>
      </c>
      <c r="I62" s="9" t="inlineStr">
        <is>
          <t>currency</t>
        </is>
      </c>
      <c r="J62" s="9" t="inlineStr">
        <is>
          <t>ZAR</t>
        </is>
      </c>
      <c r="K62" s="11" t="n"/>
      <c r="L62" s="11" t="n"/>
      <c r="M62" s="9" t="inlineStr">
        <is>
          <t>total_non_current_liabilities</t>
        </is>
      </c>
      <c r="N62" s="9" t="inlineStr">
        <is>
          <t>IMPORTANT: balance sheet comparative NOT restated (IFRS 5 does not require it) - basis is as_reported, unlike the income statement</t>
        </is>
      </c>
    </row>
    <row r="63">
      <c r="A63" s="9" t="n">
        <v>59</v>
      </c>
      <c r="B63" s="9" t="inlineStr">
        <is>
          <t>balance_sheet</t>
        </is>
      </c>
      <c r="C63" s="9" t="inlineStr">
        <is>
          <t>20</t>
        </is>
      </c>
      <c r="D63" s="9" t="inlineStr">
        <is>
          <t>Lease liabilities (non-current)</t>
        </is>
      </c>
      <c r="E63" s="9" t="inlineStr">
        <is>
          <t>FY2025</t>
        </is>
      </c>
      <c r="F63" s="9" t="inlineStr">
        <is>
          <t>as_reported</t>
        </is>
      </c>
      <c r="G63" s="10" t="n">
        <v>43116</v>
      </c>
      <c r="H63" s="9" t="inlineStr">
        <is>
          <t>millions</t>
        </is>
      </c>
      <c r="I63" s="9" t="inlineStr">
        <is>
          <t>currency</t>
        </is>
      </c>
      <c r="J63" s="9" t="inlineStr">
        <is>
          <t>ZAR</t>
        </is>
      </c>
      <c r="K63" s="11" t="n"/>
      <c r="L63" s="11" t="n"/>
      <c r="M63" s="9" t="inlineStr">
        <is>
          <t>lease_liabilities_non_current</t>
        </is>
      </c>
      <c r="N63" s="9" t="inlineStr"/>
    </row>
    <row r="64">
      <c r="A64" s="9" t="n">
        <v>60</v>
      </c>
      <c r="B64" s="9" t="inlineStr">
        <is>
          <t>balance_sheet</t>
        </is>
      </c>
      <c r="C64" s="9" t="inlineStr">
        <is>
          <t>20</t>
        </is>
      </c>
      <c r="D64" s="9" t="inlineStr">
        <is>
          <t>Lease liabilities (non-current)</t>
        </is>
      </c>
      <c r="E64" s="9" t="inlineStr">
        <is>
          <t>FY2024</t>
        </is>
      </c>
      <c r="F64" s="9" t="inlineStr">
        <is>
          <t>as_reported</t>
        </is>
      </c>
      <c r="G64" s="10" t="n">
        <v>36702</v>
      </c>
      <c r="H64" s="9" t="inlineStr">
        <is>
          <t>millions</t>
        </is>
      </c>
      <c r="I64" s="9" t="inlineStr">
        <is>
          <t>currency</t>
        </is>
      </c>
      <c r="J64" s="9" t="inlineStr">
        <is>
          <t>ZAR</t>
        </is>
      </c>
      <c r="K64" s="11" t="n"/>
      <c r="L64" s="11" t="n"/>
      <c r="M64" s="9" t="inlineStr">
        <is>
          <t>lease_liabilities_non_current</t>
        </is>
      </c>
      <c r="N64" s="9" t="inlineStr">
        <is>
          <t>IMPORTANT: balance sheet comparative NOT restated (IFRS 5 does not require it) - basis is as_reported, unlike the income statement</t>
        </is>
      </c>
    </row>
    <row r="65">
      <c r="A65" s="9" t="n">
        <v>61</v>
      </c>
      <c r="B65" s="9" t="inlineStr">
        <is>
          <t>balance_sheet</t>
        </is>
      </c>
      <c r="C65" s="9" t="inlineStr">
        <is>
          <t>21</t>
        </is>
      </c>
      <c r="D65" s="9" t="inlineStr">
        <is>
          <t>Borrowings (non-current)</t>
        </is>
      </c>
      <c r="E65" s="9" t="inlineStr">
        <is>
          <t>FY2025</t>
        </is>
      </c>
      <c r="F65" s="9" t="inlineStr">
        <is>
          <t>as_reported</t>
        </is>
      </c>
      <c r="G65" s="10" t="n">
        <v>6504</v>
      </c>
      <c r="H65" s="9" t="inlineStr">
        <is>
          <t>millions</t>
        </is>
      </c>
      <c r="I65" s="9" t="inlineStr">
        <is>
          <t>currency</t>
        </is>
      </c>
      <c r="J65" s="9" t="inlineStr">
        <is>
          <t>ZAR</t>
        </is>
      </c>
      <c r="K65" s="11" t="n"/>
      <c r="L65" s="11" t="n"/>
      <c r="M65" s="9" t="inlineStr">
        <is>
          <t>borrowings_non_current</t>
        </is>
      </c>
      <c r="N65" s="9" t="inlineStr"/>
    </row>
    <row r="66">
      <c r="A66" s="9" t="n">
        <v>62</v>
      </c>
      <c r="B66" s="9" t="inlineStr">
        <is>
          <t>balance_sheet</t>
        </is>
      </c>
      <c r="C66" s="9" t="inlineStr">
        <is>
          <t>21</t>
        </is>
      </c>
      <c r="D66" s="9" t="inlineStr">
        <is>
          <t>Borrowings (non-current)</t>
        </is>
      </c>
      <c r="E66" s="9" t="inlineStr">
        <is>
          <t>FY2024</t>
        </is>
      </c>
      <c r="F66" s="9" t="inlineStr">
        <is>
          <t>as_reported</t>
        </is>
      </c>
      <c r="G66" s="10" t="n">
        <v>5788</v>
      </c>
      <c r="H66" s="9" t="inlineStr">
        <is>
          <t>millions</t>
        </is>
      </c>
      <c r="I66" s="9" t="inlineStr">
        <is>
          <t>currency</t>
        </is>
      </c>
      <c r="J66" s="9" t="inlineStr">
        <is>
          <t>ZAR</t>
        </is>
      </c>
      <c r="K66" s="11" t="n"/>
      <c r="L66" s="11" t="n"/>
      <c r="M66" s="9" t="inlineStr">
        <is>
          <t>borrowings_non_current</t>
        </is>
      </c>
      <c r="N66" s="9" t="inlineStr">
        <is>
          <t>IMPORTANT: balance sheet comparative NOT restated (IFRS 5 does not require it) - basis is as_reported, unlike the income statement</t>
        </is>
      </c>
    </row>
    <row r="67">
      <c r="A67" s="9" t="n">
        <v>63</v>
      </c>
      <c r="B67" s="9" t="inlineStr">
        <is>
          <t>balance_sheet</t>
        </is>
      </c>
      <c r="C67" s="9" t="inlineStr">
        <is>
          <t>14</t>
        </is>
      </c>
      <c r="D67" s="9" t="inlineStr">
        <is>
          <t>Deferred income tax liabilities</t>
        </is>
      </c>
      <c r="E67" s="9" t="inlineStr">
        <is>
          <t>FY2025</t>
        </is>
      </c>
      <c r="F67" s="9" t="inlineStr">
        <is>
          <t>as_reported</t>
        </is>
      </c>
      <c r="G67" s="10" t="n">
        <v>8</v>
      </c>
      <c r="H67" s="9" t="inlineStr">
        <is>
          <t>millions</t>
        </is>
      </c>
      <c r="I67" s="9" t="inlineStr">
        <is>
          <t>currency</t>
        </is>
      </c>
      <c r="J67" s="9" t="inlineStr">
        <is>
          <t>ZAR</t>
        </is>
      </c>
      <c r="K67" s="11" t="n"/>
      <c r="L67" s="11" t="n"/>
      <c r="M67" s="9" t="inlineStr">
        <is>
          <t>deferred_tax_liabilities</t>
        </is>
      </c>
      <c r="N67" s="9" t="inlineStr"/>
    </row>
    <row r="68">
      <c r="A68" s="9" t="n">
        <v>64</v>
      </c>
      <c r="B68" s="9" t="inlineStr">
        <is>
          <t>balance_sheet</t>
        </is>
      </c>
      <c r="C68" s="9" t="inlineStr">
        <is>
          <t>14</t>
        </is>
      </c>
      <c r="D68" s="9" t="inlineStr">
        <is>
          <t>Deferred income tax liabilities</t>
        </is>
      </c>
      <c r="E68" s="9" t="inlineStr">
        <is>
          <t>FY2024</t>
        </is>
      </c>
      <c r="F68" s="9" t="inlineStr">
        <is>
          <t>as_reported</t>
        </is>
      </c>
      <c r="G68" s="10" t="n">
        <v>8</v>
      </c>
      <c r="H68" s="9" t="inlineStr">
        <is>
          <t>millions</t>
        </is>
      </c>
      <c r="I68" s="9" t="inlineStr">
        <is>
          <t>currency</t>
        </is>
      </c>
      <c r="J68" s="9" t="inlineStr">
        <is>
          <t>ZAR</t>
        </is>
      </c>
      <c r="K68" s="11" t="n"/>
      <c r="L68" s="11" t="n"/>
      <c r="M68" s="9" t="inlineStr">
        <is>
          <t>deferred_tax_liabilities</t>
        </is>
      </c>
      <c r="N68" s="9" t="inlineStr">
        <is>
          <t>IMPORTANT: balance sheet comparative NOT restated (IFRS 5 does not require it) - basis is as_reported, unlike the income statement</t>
        </is>
      </c>
    </row>
    <row r="69">
      <c r="A69" s="9" t="n">
        <v>65</v>
      </c>
      <c r="B69" s="9" t="inlineStr">
        <is>
          <t>balance_sheet</t>
        </is>
      </c>
      <c r="C69" s="9" t="inlineStr">
        <is>
          <t>22</t>
        </is>
      </c>
      <c r="D69" s="9" t="inlineStr">
        <is>
          <t>Employee benefit and other provisions (non-current)</t>
        </is>
      </c>
      <c r="E69" s="9" t="inlineStr">
        <is>
          <t>FY2025</t>
        </is>
      </c>
      <c r="F69" s="9" t="inlineStr">
        <is>
          <t>as_reported</t>
        </is>
      </c>
      <c r="G69" s="10" t="n">
        <v>582</v>
      </c>
      <c r="H69" s="9" t="inlineStr">
        <is>
          <t>millions</t>
        </is>
      </c>
      <c r="I69" s="9" t="inlineStr">
        <is>
          <t>currency</t>
        </is>
      </c>
      <c r="J69" s="9" t="inlineStr">
        <is>
          <t>ZAR</t>
        </is>
      </c>
      <c r="K69" s="11" t="n"/>
      <c r="L69" s="11" t="n"/>
      <c r="M69" s="9" t="inlineStr">
        <is>
          <t>provisions_non_current</t>
        </is>
      </c>
      <c r="N69" s="9" t="inlineStr"/>
    </row>
    <row r="70">
      <c r="A70" s="9" t="n">
        <v>66</v>
      </c>
      <c r="B70" s="9" t="inlineStr">
        <is>
          <t>balance_sheet</t>
        </is>
      </c>
      <c r="C70" s="9" t="inlineStr">
        <is>
          <t>22</t>
        </is>
      </c>
      <c r="D70" s="9" t="inlineStr">
        <is>
          <t>Employee benefit and other provisions (non-current)</t>
        </is>
      </c>
      <c r="E70" s="9" t="inlineStr">
        <is>
          <t>FY2024</t>
        </is>
      </c>
      <c r="F70" s="9" t="inlineStr">
        <is>
          <t>as_reported</t>
        </is>
      </c>
      <c r="G70" s="10" t="n">
        <v>482</v>
      </c>
      <c r="H70" s="9" t="inlineStr">
        <is>
          <t>millions</t>
        </is>
      </c>
      <c r="I70" s="9" t="inlineStr">
        <is>
          <t>currency</t>
        </is>
      </c>
      <c r="J70" s="9" t="inlineStr">
        <is>
          <t>ZAR</t>
        </is>
      </c>
      <c r="K70" s="11" t="n"/>
      <c r="L70" s="11" t="n"/>
      <c r="M70" s="9" t="inlineStr">
        <is>
          <t>provisions_non_current</t>
        </is>
      </c>
      <c r="N70" s="9" t="inlineStr">
        <is>
          <t>IMPORTANT: balance sheet comparative NOT restated (IFRS 5 does not require it) - basis is as_reported, unlike the income statement</t>
        </is>
      </c>
    </row>
    <row r="71">
      <c r="A71" s="9" t="n">
        <v>67</v>
      </c>
      <c r="B71" s="9" t="inlineStr">
        <is>
          <t>balance_sheet</t>
        </is>
      </c>
      <c r="C71" s="9" t="inlineStr">
        <is>
          <t>23</t>
        </is>
      </c>
      <c r="D71" s="9" t="inlineStr">
        <is>
          <t>Trade and other payables (non-current)</t>
        </is>
      </c>
      <c r="E71" s="9" t="inlineStr">
        <is>
          <t>FY2025</t>
        </is>
      </c>
      <c r="F71" s="9" t="inlineStr">
        <is>
          <t>as_reported</t>
        </is>
      </c>
      <c r="G71" s="10" t="n">
        <v>76</v>
      </c>
      <c r="H71" s="9" t="inlineStr">
        <is>
          <t>millions</t>
        </is>
      </c>
      <c r="I71" s="9" t="inlineStr">
        <is>
          <t>currency</t>
        </is>
      </c>
      <c r="J71" s="9" t="inlineStr">
        <is>
          <t>ZAR</t>
        </is>
      </c>
      <c r="K71" s="11" t="n"/>
      <c r="L71" s="11" t="n"/>
      <c r="M71" s="9" t="inlineStr">
        <is>
          <t>trade_payables_non_current</t>
        </is>
      </c>
      <c r="N71" s="9" t="inlineStr"/>
    </row>
    <row r="72">
      <c r="A72" s="9" t="n">
        <v>68</v>
      </c>
      <c r="B72" s="9" t="inlineStr">
        <is>
          <t>balance_sheet</t>
        </is>
      </c>
      <c r="C72" s="9" t="inlineStr">
        <is>
          <t>23</t>
        </is>
      </c>
      <c r="D72" s="9" t="inlineStr">
        <is>
          <t>Trade and other payables (non-current)</t>
        </is>
      </c>
      <c r="E72" s="9" t="inlineStr">
        <is>
          <t>FY2024</t>
        </is>
      </c>
      <c r="F72" s="9" t="inlineStr">
        <is>
          <t>as_reported</t>
        </is>
      </c>
      <c r="G72" s="10" t="n">
        <v>86</v>
      </c>
      <c r="H72" s="9" t="inlineStr">
        <is>
          <t>millions</t>
        </is>
      </c>
      <c r="I72" s="9" t="inlineStr">
        <is>
          <t>currency</t>
        </is>
      </c>
      <c r="J72" s="9" t="inlineStr">
        <is>
          <t>ZAR</t>
        </is>
      </c>
      <c r="K72" s="11" t="n"/>
      <c r="L72" s="11" t="n"/>
      <c r="M72" s="9" t="inlineStr">
        <is>
          <t>trade_payables_non_current</t>
        </is>
      </c>
      <c r="N72" s="9" t="inlineStr">
        <is>
          <t>IMPORTANT: balance sheet comparative NOT restated (IFRS 5 does not require it) - basis is as_reported, unlike the income statement</t>
        </is>
      </c>
    </row>
    <row r="73">
      <c r="A73" s="9" t="n">
        <v>69</v>
      </c>
      <c r="B73" s="9" t="inlineStr">
        <is>
          <t>balance_sheet</t>
        </is>
      </c>
      <c r="C73" s="9" t="inlineStr"/>
      <c r="D73" s="9" t="inlineStr">
        <is>
          <t>Current liabilities</t>
        </is>
      </c>
      <c r="E73" s="9" t="inlineStr">
        <is>
          <t>FY2025</t>
        </is>
      </c>
      <c r="F73" s="9" t="inlineStr">
        <is>
          <t>as_reported</t>
        </is>
      </c>
      <c r="G73" s="10" t="n">
        <v>44541</v>
      </c>
      <c r="H73" s="9" t="inlineStr">
        <is>
          <t>millions</t>
        </is>
      </c>
      <c r="I73" s="9" t="inlineStr">
        <is>
          <t>currency</t>
        </is>
      </c>
      <c r="J73" s="9" t="inlineStr">
        <is>
          <t>ZAR</t>
        </is>
      </c>
      <c r="K73" s="11" t="n"/>
      <c r="L73" s="11" t="n"/>
      <c r="M73" s="9" t="inlineStr">
        <is>
          <t>total_current_liabilities</t>
        </is>
      </c>
      <c r="N73" s="9" t="inlineStr"/>
    </row>
    <row r="74">
      <c r="A74" s="9" t="n">
        <v>70</v>
      </c>
      <c r="B74" s="9" t="inlineStr">
        <is>
          <t>balance_sheet</t>
        </is>
      </c>
      <c r="C74" s="9" t="inlineStr"/>
      <c r="D74" s="9" t="inlineStr">
        <is>
          <t>Current liabilities</t>
        </is>
      </c>
      <c r="E74" s="9" t="inlineStr">
        <is>
          <t>FY2024</t>
        </is>
      </c>
      <c r="F74" s="9" t="inlineStr">
        <is>
          <t>as_reported</t>
        </is>
      </c>
      <c r="G74" s="10" t="n">
        <v>41538</v>
      </c>
      <c r="H74" s="9" t="inlineStr">
        <is>
          <t>millions</t>
        </is>
      </c>
      <c r="I74" s="9" t="inlineStr">
        <is>
          <t>currency</t>
        </is>
      </c>
      <c r="J74" s="9" t="inlineStr">
        <is>
          <t>ZAR</t>
        </is>
      </c>
      <c r="K74" s="11" t="n"/>
      <c r="L74" s="11" t="n"/>
      <c r="M74" s="9" t="inlineStr">
        <is>
          <t>total_current_liabilities</t>
        </is>
      </c>
      <c r="N74" s="9" t="inlineStr">
        <is>
          <t>IMPORTANT: balance sheet comparative NOT restated (IFRS 5 does not require it) - basis is as_reported, unlike the income statement</t>
        </is>
      </c>
    </row>
    <row r="75">
      <c r="A75" s="9" t="n">
        <v>71</v>
      </c>
      <c r="B75" s="9" t="inlineStr">
        <is>
          <t>balance_sheet</t>
        </is>
      </c>
      <c r="C75" s="9" t="inlineStr">
        <is>
          <t>23</t>
        </is>
      </c>
      <c r="D75" s="9" t="inlineStr">
        <is>
          <t>Trade and other payables (current)</t>
        </is>
      </c>
      <c r="E75" s="9" t="inlineStr">
        <is>
          <t>FY2025</t>
        </is>
      </c>
      <c r="F75" s="9" t="inlineStr">
        <is>
          <t>as_reported</t>
        </is>
      </c>
      <c r="G75" s="10" t="n">
        <v>34084</v>
      </c>
      <c r="H75" s="9" t="inlineStr">
        <is>
          <t>millions</t>
        </is>
      </c>
      <c r="I75" s="9" t="inlineStr">
        <is>
          <t>currency</t>
        </is>
      </c>
      <c r="J75" s="9" t="inlineStr">
        <is>
          <t>ZAR</t>
        </is>
      </c>
      <c r="K75" s="11" t="n"/>
      <c r="L75" s="11" t="n"/>
      <c r="M75" s="9" t="inlineStr">
        <is>
          <t>trade_payables_current</t>
        </is>
      </c>
      <c r="N75" s="9" t="inlineStr"/>
    </row>
    <row r="76">
      <c r="A76" s="9" t="n">
        <v>72</v>
      </c>
      <c r="B76" s="9" t="inlineStr">
        <is>
          <t>balance_sheet</t>
        </is>
      </c>
      <c r="C76" s="9" t="inlineStr">
        <is>
          <t>23</t>
        </is>
      </c>
      <c r="D76" s="9" t="inlineStr">
        <is>
          <t>Trade and other payables (current)</t>
        </is>
      </c>
      <c r="E76" s="9" t="inlineStr">
        <is>
          <t>FY2024</t>
        </is>
      </c>
      <c r="F76" s="9" t="inlineStr">
        <is>
          <t>as_reported</t>
        </is>
      </c>
      <c r="G76" s="10" t="n">
        <v>32458</v>
      </c>
      <c r="H76" s="9" t="inlineStr">
        <is>
          <t>millions</t>
        </is>
      </c>
      <c r="I76" s="9" t="inlineStr">
        <is>
          <t>currency</t>
        </is>
      </c>
      <c r="J76" s="9" t="inlineStr">
        <is>
          <t>ZAR</t>
        </is>
      </c>
      <c r="K76" s="11" t="n"/>
      <c r="L76" s="11" t="n"/>
      <c r="M76" s="9" t="inlineStr">
        <is>
          <t>trade_payables_current</t>
        </is>
      </c>
      <c r="N76" s="9" t="inlineStr">
        <is>
          <t>IMPORTANT: balance sheet comparative NOT restated (IFRS 5 does not require it) - basis is as_reported, unlike the income statement</t>
        </is>
      </c>
    </row>
    <row r="77">
      <c r="A77" s="9" t="n">
        <v>73</v>
      </c>
      <c r="B77" s="9" t="inlineStr">
        <is>
          <t>balance_sheet</t>
        </is>
      </c>
      <c r="C77" s="9" t="inlineStr">
        <is>
          <t>24</t>
        </is>
      </c>
      <c r="D77" s="9" t="inlineStr">
        <is>
          <t>Contract liabilities</t>
        </is>
      </c>
      <c r="E77" s="9" t="inlineStr">
        <is>
          <t>FY2025</t>
        </is>
      </c>
      <c r="F77" s="9" t="inlineStr">
        <is>
          <t>as_reported</t>
        </is>
      </c>
      <c r="G77" s="10" t="n">
        <v>1064</v>
      </c>
      <c r="H77" s="9" t="inlineStr">
        <is>
          <t>millions</t>
        </is>
      </c>
      <c r="I77" s="9" t="inlineStr">
        <is>
          <t>currency</t>
        </is>
      </c>
      <c r="J77" s="9" t="inlineStr">
        <is>
          <t>ZAR</t>
        </is>
      </c>
      <c r="K77" s="11" t="n"/>
      <c r="L77" s="11" t="n"/>
      <c r="M77" s="9" t="inlineStr">
        <is>
          <t>contract_liabilities</t>
        </is>
      </c>
      <c r="N77" s="9" t="inlineStr"/>
    </row>
    <row r="78">
      <c r="A78" s="9" t="n">
        <v>74</v>
      </c>
      <c r="B78" s="9" t="inlineStr">
        <is>
          <t>balance_sheet</t>
        </is>
      </c>
      <c r="C78" s="9" t="inlineStr">
        <is>
          <t>24</t>
        </is>
      </c>
      <c r="D78" s="9" t="inlineStr">
        <is>
          <t>Contract liabilities</t>
        </is>
      </c>
      <c r="E78" s="9" t="inlineStr">
        <is>
          <t>FY2024</t>
        </is>
      </c>
      <c r="F78" s="9" t="inlineStr">
        <is>
          <t>as_reported</t>
        </is>
      </c>
      <c r="G78" s="10" t="n">
        <v>1219</v>
      </c>
      <c r="H78" s="9" t="inlineStr">
        <is>
          <t>millions</t>
        </is>
      </c>
      <c r="I78" s="9" t="inlineStr">
        <is>
          <t>currency</t>
        </is>
      </c>
      <c r="J78" s="9" t="inlineStr">
        <is>
          <t>ZAR</t>
        </is>
      </c>
      <c r="K78" s="11" t="n"/>
      <c r="L78" s="11" t="n"/>
      <c r="M78" s="9" t="inlineStr">
        <is>
          <t>contract_liabilities</t>
        </is>
      </c>
      <c r="N78" s="9" t="inlineStr">
        <is>
          <t>IMPORTANT: balance sheet comparative NOT restated (IFRS 5 does not require it) - basis is as_reported, unlike the income statement</t>
        </is>
      </c>
    </row>
    <row r="79">
      <c r="A79" s="9" t="n">
        <v>75</v>
      </c>
      <c r="B79" s="9" t="inlineStr">
        <is>
          <t>balance_sheet</t>
        </is>
      </c>
      <c r="C79" s="9" t="inlineStr">
        <is>
          <t>20</t>
        </is>
      </c>
      <c r="D79" s="9" t="inlineStr">
        <is>
          <t>Lease liabilities (current)</t>
        </is>
      </c>
      <c r="E79" s="9" t="inlineStr">
        <is>
          <t>FY2025</t>
        </is>
      </c>
      <c r="F79" s="9" t="inlineStr">
        <is>
          <t>as_reported</t>
        </is>
      </c>
      <c r="G79" s="10" t="n">
        <v>3904</v>
      </c>
      <c r="H79" s="9" t="inlineStr">
        <is>
          <t>millions</t>
        </is>
      </c>
      <c r="I79" s="9" t="inlineStr">
        <is>
          <t>currency</t>
        </is>
      </c>
      <c r="J79" s="9" t="inlineStr">
        <is>
          <t>ZAR</t>
        </is>
      </c>
      <c r="K79" s="11" t="n"/>
      <c r="L79" s="11" t="n"/>
      <c r="M79" s="9" t="inlineStr">
        <is>
          <t>lease_liabilities_current</t>
        </is>
      </c>
      <c r="N79" s="9" t="inlineStr"/>
    </row>
    <row r="80">
      <c r="A80" s="9" t="n">
        <v>76</v>
      </c>
      <c r="B80" s="9" t="inlineStr">
        <is>
          <t>balance_sheet</t>
        </is>
      </c>
      <c r="C80" s="9" t="inlineStr">
        <is>
          <t>20</t>
        </is>
      </c>
      <c r="D80" s="9" t="inlineStr">
        <is>
          <t>Lease liabilities (current)</t>
        </is>
      </c>
      <c r="E80" s="9" t="inlineStr">
        <is>
          <t>FY2024</t>
        </is>
      </c>
      <c r="F80" s="9" t="inlineStr">
        <is>
          <t>as_reported</t>
        </is>
      </c>
      <c r="G80" s="10" t="n">
        <v>3775</v>
      </c>
      <c r="H80" s="9" t="inlineStr">
        <is>
          <t>millions</t>
        </is>
      </c>
      <c r="I80" s="9" t="inlineStr">
        <is>
          <t>currency</t>
        </is>
      </c>
      <c r="J80" s="9" t="inlineStr">
        <is>
          <t>ZAR</t>
        </is>
      </c>
      <c r="K80" s="11" t="n"/>
      <c r="L80" s="11" t="n"/>
      <c r="M80" s="9" t="inlineStr">
        <is>
          <t>lease_liabilities_current</t>
        </is>
      </c>
      <c r="N80" s="9" t="inlineStr">
        <is>
          <t>IMPORTANT: balance sheet comparative NOT restated (IFRS 5 does not require it) - basis is as_reported, unlike the income statement</t>
        </is>
      </c>
    </row>
    <row r="81">
      <c r="A81" s="9" t="n">
        <v>77</v>
      </c>
      <c r="B81" s="9" t="inlineStr">
        <is>
          <t>balance_sheet</t>
        </is>
      </c>
      <c r="C81" s="9" t="inlineStr">
        <is>
          <t>21</t>
        </is>
      </c>
      <c r="D81" s="9" t="inlineStr">
        <is>
          <t>Borrowings (current)</t>
        </is>
      </c>
      <c r="E81" s="9" t="inlineStr">
        <is>
          <t>FY2025</t>
        </is>
      </c>
      <c r="F81" s="9" t="inlineStr">
        <is>
          <t>as_reported</t>
        </is>
      </c>
      <c r="G81" s="10" t="n">
        <v>489</v>
      </c>
      <c r="H81" s="9" t="inlineStr">
        <is>
          <t>millions</t>
        </is>
      </c>
      <c r="I81" s="9" t="inlineStr">
        <is>
          <t>currency</t>
        </is>
      </c>
      <c r="J81" s="9" t="inlineStr">
        <is>
          <t>ZAR</t>
        </is>
      </c>
      <c r="K81" s="11" t="n"/>
      <c r="L81" s="11" t="n"/>
      <c r="M81" s="9" t="inlineStr">
        <is>
          <t>borrowings_current</t>
        </is>
      </c>
      <c r="N81" s="9" t="inlineStr"/>
    </row>
    <row r="82">
      <c r="A82" s="9" t="n">
        <v>78</v>
      </c>
      <c r="B82" s="9" t="inlineStr">
        <is>
          <t>balance_sheet</t>
        </is>
      </c>
      <c r="C82" s="9" t="inlineStr">
        <is>
          <t>21</t>
        </is>
      </c>
      <c r="D82" s="9" t="inlineStr">
        <is>
          <t>Borrowings (current)</t>
        </is>
      </c>
      <c r="E82" s="9" t="inlineStr">
        <is>
          <t>FY2024</t>
        </is>
      </c>
      <c r="F82" s="9" t="inlineStr">
        <is>
          <t>as_reported</t>
        </is>
      </c>
      <c r="G82" s="10" t="n">
        <v>205</v>
      </c>
      <c r="H82" s="9" t="inlineStr">
        <is>
          <t>millions</t>
        </is>
      </c>
      <c r="I82" s="9" t="inlineStr">
        <is>
          <t>currency</t>
        </is>
      </c>
      <c r="J82" s="9" t="inlineStr">
        <is>
          <t>ZAR</t>
        </is>
      </c>
      <c r="K82" s="11" t="n"/>
      <c r="L82" s="11" t="n"/>
      <c r="M82" s="9" t="inlineStr">
        <is>
          <t>borrowings_current</t>
        </is>
      </c>
      <c r="N82" s="9" t="inlineStr">
        <is>
          <t>IMPORTANT: balance sheet comparative NOT restated (IFRS 5 does not require it) - basis is as_reported, unlike the income statement</t>
        </is>
      </c>
    </row>
    <row r="83">
      <c r="A83" s="9" t="n">
        <v>79</v>
      </c>
      <c r="B83" s="9" t="inlineStr">
        <is>
          <t>balance_sheet</t>
        </is>
      </c>
      <c r="C83" s="9" t="inlineStr"/>
      <c r="D83" s="9" t="inlineStr">
        <is>
          <t>Current income tax liabilities</t>
        </is>
      </c>
      <c r="E83" s="9" t="inlineStr">
        <is>
          <t>FY2025</t>
        </is>
      </c>
      <c r="F83" s="9" t="inlineStr">
        <is>
          <t>as_reported</t>
        </is>
      </c>
      <c r="G83" s="10" t="n">
        <v>677</v>
      </c>
      <c r="H83" s="9" t="inlineStr">
        <is>
          <t>millions</t>
        </is>
      </c>
      <c r="I83" s="9" t="inlineStr">
        <is>
          <t>currency</t>
        </is>
      </c>
      <c r="J83" s="9" t="inlineStr">
        <is>
          <t>ZAR</t>
        </is>
      </c>
      <c r="K83" s="11" t="n"/>
      <c r="L83" s="11" t="n"/>
      <c r="M83" s="9" t="inlineStr">
        <is>
          <t>current_tax_liabilities</t>
        </is>
      </c>
      <c r="N83" s="9" t="inlineStr"/>
    </row>
    <row r="84">
      <c r="A84" s="9" t="n">
        <v>80</v>
      </c>
      <c r="B84" s="9" t="inlineStr">
        <is>
          <t>balance_sheet</t>
        </is>
      </c>
      <c r="C84" s="9" t="inlineStr"/>
      <c r="D84" s="9" t="inlineStr">
        <is>
          <t>Current income tax liabilities</t>
        </is>
      </c>
      <c r="E84" s="9" t="inlineStr">
        <is>
          <t>FY2024</t>
        </is>
      </c>
      <c r="F84" s="9" t="inlineStr">
        <is>
          <t>as_reported</t>
        </is>
      </c>
      <c r="G84" s="10" t="n">
        <v>784</v>
      </c>
      <c r="H84" s="9" t="inlineStr">
        <is>
          <t>millions</t>
        </is>
      </c>
      <c r="I84" s="9" t="inlineStr">
        <is>
          <t>currency</t>
        </is>
      </c>
      <c r="J84" s="9" t="inlineStr">
        <is>
          <t>ZAR</t>
        </is>
      </c>
      <c r="K84" s="11" t="n"/>
      <c r="L84" s="11" t="n"/>
      <c r="M84" s="9" t="inlineStr">
        <is>
          <t>current_tax_liabilities</t>
        </is>
      </c>
      <c r="N84" s="9" t="inlineStr">
        <is>
          <t>IMPORTANT: balance sheet comparative NOT restated (IFRS 5 does not require it) - basis is as_reported, unlike the income statement</t>
        </is>
      </c>
    </row>
    <row r="85">
      <c r="A85" s="9" t="n">
        <v>81</v>
      </c>
      <c r="B85" s="9" t="inlineStr">
        <is>
          <t>balance_sheet</t>
        </is>
      </c>
      <c r="C85" s="9" t="inlineStr">
        <is>
          <t>22</t>
        </is>
      </c>
      <c r="D85" s="9" t="inlineStr">
        <is>
          <t>Employee benefit and other provisions (current)</t>
        </is>
      </c>
      <c r="E85" s="9" t="inlineStr">
        <is>
          <t>FY2025</t>
        </is>
      </c>
      <c r="F85" s="9" t="inlineStr">
        <is>
          <t>as_reported</t>
        </is>
      </c>
      <c r="G85" s="10" t="n">
        <v>158</v>
      </c>
      <c r="H85" s="9" t="inlineStr">
        <is>
          <t>millions</t>
        </is>
      </c>
      <c r="I85" s="9" t="inlineStr">
        <is>
          <t>currency</t>
        </is>
      </c>
      <c r="J85" s="9" t="inlineStr">
        <is>
          <t>ZAR</t>
        </is>
      </c>
      <c r="K85" s="11" t="n"/>
      <c r="L85" s="11" t="n"/>
      <c r="M85" s="9" t="inlineStr">
        <is>
          <t>provisions_current</t>
        </is>
      </c>
      <c r="N85" s="9" t="inlineStr"/>
    </row>
    <row r="86">
      <c r="A86" s="9" t="n">
        <v>82</v>
      </c>
      <c r="B86" s="9" t="inlineStr">
        <is>
          <t>balance_sheet</t>
        </is>
      </c>
      <c r="C86" s="9" t="inlineStr">
        <is>
          <t>22</t>
        </is>
      </c>
      <c r="D86" s="9" t="inlineStr">
        <is>
          <t>Employee benefit and other provisions (current)</t>
        </is>
      </c>
      <c r="E86" s="9" t="inlineStr">
        <is>
          <t>FY2024</t>
        </is>
      </c>
      <c r="F86" s="9" t="inlineStr">
        <is>
          <t>as_reported</t>
        </is>
      </c>
      <c r="G86" s="10" t="n">
        <v>202</v>
      </c>
      <c r="H86" s="9" t="inlineStr">
        <is>
          <t>millions</t>
        </is>
      </c>
      <c r="I86" s="9" t="inlineStr">
        <is>
          <t>currency</t>
        </is>
      </c>
      <c r="J86" s="9" t="inlineStr">
        <is>
          <t>ZAR</t>
        </is>
      </c>
      <c r="K86" s="11" t="n"/>
      <c r="L86" s="11" t="n"/>
      <c r="M86" s="9" t="inlineStr">
        <is>
          <t>provisions_current</t>
        </is>
      </c>
      <c r="N86" s="9" t="inlineStr">
        <is>
          <t>IMPORTANT: balance sheet comparative NOT restated (IFRS 5 does not require it) - basis is as_reported, unlike the income statement</t>
        </is>
      </c>
    </row>
    <row r="87">
      <c r="A87" s="9" t="n">
        <v>83</v>
      </c>
      <c r="B87" s="9" t="inlineStr">
        <is>
          <t>balance_sheet</t>
        </is>
      </c>
      <c r="C87" s="9" t="inlineStr"/>
      <c r="D87" s="9" t="inlineStr">
        <is>
          <t>Bank overdrafts and other short-term facilities</t>
        </is>
      </c>
      <c r="E87" s="9" t="inlineStr">
        <is>
          <t>FY2025</t>
        </is>
      </c>
      <c r="F87" s="9" t="inlineStr">
        <is>
          <t>as_reported</t>
        </is>
      </c>
      <c r="G87" s="10" t="n">
        <v>1863</v>
      </c>
      <c r="H87" s="9" t="inlineStr">
        <is>
          <t>millions</t>
        </is>
      </c>
      <c r="I87" s="9" t="inlineStr">
        <is>
          <t>currency</t>
        </is>
      </c>
      <c r="J87" s="9" t="inlineStr">
        <is>
          <t>ZAR</t>
        </is>
      </c>
      <c r="K87" s="11" t="n"/>
      <c r="L87" s="11" t="n"/>
      <c r="M87" s="9" t="inlineStr">
        <is>
          <t>bank_overdrafts</t>
        </is>
      </c>
      <c r="N87" s="9" t="inlineStr"/>
    </row>
    <row r="88">
      <c r="A88" s="9" t="n">
        <v>84</v>
      </c>
      <c r="B88" s="9" t="inlineStr">
        <is>
          <t>balance_sheet</t>
        </is>
      </c>
      <c r="C88" s="9" t="inlineStr"/>
      <c r="D88" s="9" t="inlineStr">
        <is>
          <t>Bank overdrafts and other short-term facilities</t>
        </is>
      </c>
      <c r="E88" s="9" t="inlineStr">
        <is>
          <t>FY2024</t>
        </is>
      </c>
      <c r="F88" s="9" t="inlineStr">
        <is>
          <t>as_reported</t>
        </is>
      </c>
      <c r="G88" s="10" t="n">
        <v>2895</v>
      </c>
      <c r="H88" s="9" t="inlineStr">
        <is>
          <t>millions</t>
        </is>
      </c>
      <c r="I88" s="9" t="inlineStr">
        <is>
          <t>currency</t>
        </is>
      </c>
      <c r="J88" s="9" t="inlineStr">
        <is>
          <t>ZAR</t>
        </is>
      </c>
      <c r="K88" s="11" t="n"/>
      <c r="L88" s="11" t="n"/>
      <c r="M88" s="9" t="inlineStr">
        <is>
          <t>bank_overdrafts</t>
        </is>
      </c>
      <c r="N88" s="9" t="inlineStr">
        <is>
          <t>IMPORTANT: balance sheet comparative NOT restated (IFRS 5 does not require it) - basis is as_reported, unlike the income statement</t>
        </is>
      </c>
    </row>
    <row r="89">
      <c r="A89" s="9" t="n">
        <v>85</v>
      </c>
      <c r="B89" s="9" t="inlineStr">
        <is>
          <t>balance_sheet</t>
        </is>
      </c>
      <c r="C89" s="9" t="inlineStr">
        <is>
          <t>25</t>
        </is>
      </c>
      <c r="D89" s="9" t="inlineStr">
        <is>
          <t>Liabilities directly associated with assets classified as held for sale</t>
        </is>
      </c>
      <c r="E89" s="9" t="inlineStr">
        <is>
          <t>FY2025</t>
        </is>
      </c>
      <c r="F89" s="9" t="inlineStr">
        <is>
          <t>as_reported</t>
        </is>
      </c>
      <c r="G89" s="10" t="n">
        <v>2302</v>
      </c>
      <c r="H89" s="9" t="inlineStr">
        <is>
          <t>millions</t>
        </is>
      </c>
      <c r="I89" s="9" t="inlineStr">
        <is>
          <t>currency</t>
        </is>
      </c>
      <c r="J89" s="9" t="inlineStr">
        <is>
          <t>ZAR</t>
        </is>
      </c>
      <c r="K89" s="11" t="n"/>
      <c r="L89" s="11" t="n"/>
      <c r="M89" s="9" t="inlineStr">
        <is>
          <t>liabilities_held_for_sale</t>
        </is>
      </c>
      <c r="N89" s="9" t="inlineStr"/>
    </row>
    <row r="90">
      <c r="A90" s="9" t="n">
        <v>86</v>
      </c>
      <c r="B90" s="9" t="inlineStr">
        <is>
          <t>balance_sheet</t>
        </is>
      </c>
      <c r="C90" s="9" t="inlineStr">
        <is>
          <t>25</t>
        </is>
      </c>
      <c r="D90" s="9" t="inlineStr">
        <is>
          <t>Liabilities directly associated with assets classified as held for sale</t>
        </is>
      </c>
      <c r="E90" s="9" t="inlineStr">
        <is>
          <t>FY2024</t>
        </is>
      </c>
      <c r="F90" s="9" t="inlineStr">
        <is>
          <t>as_reported</t>
        </is>
      </c>
      <c r="G90" s="10" t="n">
        <v>0</v>
      </c>
      <c r="H90" s="9" t="inlineStr">
        <is>
          <t>millions</t>
        </is>
      </c>
      <c r="I90" s="9" t="inlineStr">
        <is>
          <t>currency</t>
        </is>
      </c>
      <c r="J90" s="9" t="inlineStr">
        <is>
          <t>ZAR</t>
        </is>
      </c>
      <c r="K90" s="11" t="n"/>
      <c r="L90" s="11" t="n"/>
      <c r="M90" s="9" t="inlineStr">
        <is>
          <t>liabilities_held_for_sale</t>
        </is>
      </c>
      <c r="N90" s="9" t="inlineStr">
        <is>
          <t>IMPORTANT: balance sheet comparative NOT restated (IFRS 5 does not require it) - basis is as_reported, unlike the income statement</t>
        </is>
      </c>
    </row>
    <row r="91">
      <c r="A91" s="9" t="n">
        <v>87</v>
      </c>
      <c r="B91" s="9" t="inlineStr">
        <is>
          <t>balance_sheet</t>
        </is>
      </c>
      <c r="C91" s="9" t="inlineStr"/>
      <c r="D91" s="9" t="inlineStr">
        <is>
          <t>Total liabilities</t>
        </is>
      </c>
      <c r="E91" s="9" t="inlineStr">
        <is>
          <t>FY2025</t>
        </is>
      </c>
      <c r="F91" s="9" t="inlineStr">
        <is>
          <t>as_reported</t>
        </is>
      </c>
      <c r="G91" s="10" t="n">
        <v>94827</v>
      </c>
      <c r="H91" s="9" t="inlineStr">
        <is>
          <t>millions</t>
        </is>
      </c>
      <c r="I91" s="9" t="inlineStr">
        <is>
          <t>currency</t>
        </is>
      </c>
      <c r="J91" s="9" t="inlineStr">
        <is>
          <t>ZAR</t>
        </is>
      </c>
      <c r="K91" s="11" t="n"/>
      <c r="L91" s="11" t="n"/>
      <c r="M91" s="9" t="inlineStr">
        <is>
          <t>total_liabilities</t>
        </is>
      </c>
      <c r="N91" s="9" t="inlineStr"/>
    </row>
    <row r="92">
      <c r="A92" s="9" t="n">
        <v>88</v>
      </c>
      <c r="B92" s="9" t="inlineStr">
        <is>
          <t>balance_sheet</t>
        </is>
      </c>
      <c r="C92" s="9" t="inlineStr"/>
      <c r="D92" s="9" t="inlineStr">
        <is>
          <t>Total liabilities</t>
        </is>
      </c>
      <c r="E92" s="9" t="inlineStr">
        <is>
          <t>FY2024</t>
        </is>
      </c>
      <c r="F92" s="9" t="inlineStr">
        <is>
          <t>as_reported</t>
        </is>
      </c>
      <c r="G92" s="10" t="n">
        <v>84604</v>
      </c>
      <c r="H92" s="9" t="inlineStr">
        <is>
          <t>millions</t>
        </is>
      </c>
      <c r="I92" s="9" t="inlineStr">
        <is>
          <t>currency</t>
        </is>
      </c>
      <c r="J92" s="9" t="inlineStr">
        <is>
          <t>ZAR</t>
        </is>
      </c>
      <c r="K92" s="11" t="n"/>
      <c r="L92" s="11" t="n"/>
      <c r="M92" s="9" t="inlineStr">
        <is>
          <t>total_liabilities</t>
        </is>
      </c>
      <c r="N92" s="9" t="inlineStr">
        <is>
          <t>IMPORTANT: balance sheet comparative NOT restated (IFRS 5 does not require it) - basis is as_reported, unlike the income statement</t>
        </is>
      </c>
    </row>
    <row r="93">
      <c r="A93" s="9" t="n">
        <v>89</v>
      </c>
      <c r="B93" s="9" t="inlineStr">
        <is>
          <t>balance_sheet</t>
        </is>
      </c>
      <c r="C93" s="9" t="inlineStr"/>
      <c r="D93" s="9" t="inlineStr">
        <is>
          <t>Total equity and liabilities</t>
        </is>
      </c>
      <c r="E93" s="9" t="inlineStr">
        <is>
          <t>FY2025</t>
        </is>
      </c>
      <c r="F93" s="9" t="inlineStr">
        <is>
          <t>as_reported</t>
        </is>
      </c>
      <c r="G93" s="10" t="n">
        <v>124944</v>
      </c>
      <c r="H93" s="9" t="inlineStr">
        <is>
          <t>millions</t>
        </is>
      </c>
      <c r="I93" s="9" t="inlineStr">
        <is>
          <t>currency</t>
        </is>
      </c>
      <c r="J93" s="9" t="inlineStr">
        <is>
          <t>ZAR</t>
        </is>
      </c>
      <c r="K93" s="11" t="n"/>
      <c r="L93" s="11" t="n"/>
      <c r="M93" s="9" t="inlineStr">
        <is>
          <t>total_equity_and_liabilities</t>
        </is>
      </c>
      <c r="N93" s="9" t="inlineStr"/>
    </row>
    <row r="94">
      <c r="A94" s="9" t="n">
        <v>90</v>
      </c>
      <c r="B94" s="9" t="inlineStr">
        <is>
          <t>balance_sheet</t>
        </is>
      </c>
      <c r="C94" s="9" t="inlineStr"/>
      <c r="D94" s="9" t="inlineStr">
        <is>
          <t>Total equity and liabilities</t>
        </is>
      </c>
      <c r="E94" s="9" t="inlineStr">
        <is>
          <t>FY2024</t>
        </is>
      </c>
      <c r="F94" s="9" t="inlineStr">
        <is>
          <t>as_reported</t>
        </is>
      </c>
      <c r="G94" s="10" t="n">
        <v>112328</v>
      </c>
      <c r="H94" s="9" t="inlineStr">
        <is>
          <t>millions</t>
        </is>
      </c>
      <c r="I94" s="9" t="inlineStr">
        <is>
          <t>currency</t>
        </is>
      </c>
      <c r="J94" s="9" t="inlineStr">
        <is>
          <t>ZAR</t>
        </is>
      </c>
      <c r="K94" s="11" t="n"/>
      <c r="L94" s="11" t="n"/>
      <c r="M94" s="9" t="inlineStr">
        <is>
          <t>total_equity_and_liabilities</t>
        </is>
      </c>
      <c r="N94" s="9" t="inlineStr">
        <is>
          <t>IMPORTANT: balance sheet comparative NOT restated (IFRS 5 does not require it) - basis is as_reported, unlike the income statement</t>
        </is>
      </c>
    </row>
  </sheetData>
  <autoFilter ref="A4:N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52" customWidth="1" min="4" max="4"/>
    <col width="9" customWidth="1" min="5" max="5"/>
    <col width="13" customWidth="1" min="6" max="6"/>
    <col width="16" customWidth="1" min="7" max="7"/>
    <col width="11" customWidth="1" min="8" max="8"/>
    <col width="10" customWidth="1" min="9" max="9"/>
    <col width="9" customWidth="1" min="10" max="10"/>
    <col width="8" customWidth="1" min="11" max="11"/>
    <col width="9" customWidth="1" min="12" max="12"/>
    <col width="30" customWidth="1" min="13" max="13"/>
    <col width="44" customWidth="1" min="14" max="14"/>
  </cols>
  <sheetData>
    <row r="1">
      <c r="A1" s="6" t="inlineStr">
        <is>
          <t>M2.7  Consolidated statement of cash flows</t>
        </is>
      </c>
    </row>
    <row r="2">
      <c r="A2" s="7" t="inlineStr">
        <is>
          <t>Source: Shoprite Holdings Ltd, Annual Financial Statements 2025 (52 weeks ended 29 June 2025). Values pre-filled from the published statements — VERIFY each against the PDF, then fill 'page' and set 'verified' to Y.</t>
        </is>
      </c>
    </row>
    <row r="4">
      <c r="A4" s="8" t="inlineStr">
        <is>
          <t>row_id</t>
        </is>
      </c>
      <c r="B4" s="8" t="inlineStr">
        <is>
          <t>statement</t>
        </is>
      </c>
      <c r="C4" s="8" t="inlineStr">
        <is>
          <t>note_ref</t>
        </is>
      </c>
      <c r="D4" s="8" t="inlineStr">
        <is>
          <t>as_reported_label</t>
        </is>
      </c>
      <c r="E4" s="8" t="inlineStr">
        <is>
          <t>period</t>
        </is>
      </c>
      <c r="F4" s="8" t="inlineStr">
        <is>
          <t>basis</t>
        </is>
      </c>
      <c r="G4" s="8" t="inlineStr">
        <is>
          <t>value_as_printed</t>
        </is>
      </c>
      <c r="H4" s="8" t="inlineStr">
        <is>
          <t>scale</t>
        </is>
      </c>
      <c r="I4" s="8" t="inlineStr">
        <is>
          <t>unit</t>
        </is>
      </c>
      <c r="J4" s="8" t="inlineStr">
        <is>
          <t>currency</t>
        </is>
      </c>
      <c r="K4" s="8" t="inlineStr">
        <is>
          <t>page</t>
        </is>
      </c>
      <c r="L4" s="8" t="inlineStr">
        <is>
          <t>verified</t>
        </is>
      </c>
      <c r="M4" s="8" t="inlineStr">
        <is>
          <t>concept_suggestion</t>
        </is>
      </c>
      <c r="N4" s="8" t="inlineStr">
        <is>
          <t>notes</t>
        </is>
      </c>
    </row>
    <row r="5">
      <c r="A5" s="9" t="n">
        <v>1</v>
      </c>
      <c r="B5" s="9" t="inlineStr">
        <is>
          <t>cash_flow</t>
        </is>
      </c>
      <c r="C5" s="9" t="inlineStr"/>
      <c r="D5" s="9" t="inlineStr">
        <is>
          <t>Cash flows from operating activities</t>
        </is>
      </c>
      <c r="E5" s="9" t="inlineStr">
        <is>
          <t>FY2025</t>
        </is>
      </c>
      <c r="F5" s="9" t="inlineStr">
        <is>
          <t>as_reported</t>
        </is>
      </c>
      <c r="G5" s="10" t="n">
        <v>10984</v>
      </c>
      <c r="H5" s="9" t="inlineStr">
        <is>
          <t>millions</t>
        </is>
      </c>
      <c r="I5" s="9" t="inlineStr">
        <is>
          <t>currency</t>
        </is>
      </c>
      <c r="J5" s="9" t="inlineStr">
        <is>
          <t>ZAR</t>
        </is>
      </c>
      <c r="K5" s="11" t="n"/>
      <c r="L5" s="11" t="n"/>
      <c r="M5" s="9" t="inlineStr">
        <is>
          <t>cash_from_operating_activities</t>
        </is>
      </c>
      <c r="N5" s="9" t="inlineStr"/>
    </row>
    <row r="6">
      <c r="A6" s="9" t="n">
        <v>2</v>
      </c>
      <c r="B6" s="9" t="inlineStr">
        <is>
          <t>cash_flow</t>
        </is>
      </c>
      <c r="C6" s="9" t="inlineStr"/>
      <c r="D6" s="9" t="inlineStr">
        <is>
          <t>Cash flows from operating activities</t>
        </is>
      </c>
      <c r="E6" s="9" t="inlineStr">
        <is>
          <t>FY2024</t>
        </is>
      </c>
      <c r="F6" s="9" t="inlineStr">
        <is>
          <t>as_reported</t>
        </is>
      </c>
      <c r="G6" s="10" t="n">
        <v>13841</v>
      </c>
      <c r="H6" s="9" t="inlineStr">
        <is>
          <t>millions</t>
        </is>
      </c>
      <c r="I6" s="9" t="inlineStr">
        <is>
          <t>currency</t>
        </is>
      </c>
      <c r="J6" s="9" t="inlineStr">
        <is>
          <t>ZAR</t>
        </is>
      </c>
      <c r="K6" s="11" t="n"/>
      <c r="L6" s="11" t="n"/>
      <c r="M6" s="9" t="inlineStr">
        <is>
          <t>cash_from_operating_activities</t>
        </is>
      </c>
      <c r="N6" s="9" t="inlineStr">
        <is>
          <t>Cash flow comparative NOT restated</t>
        </is>
      </c>
    </row>
    <row r="7">
      <c r="A7" s="9" t="n">
        <v>3</v>
      </c>
      <c r="B7" s="9" t="inlineStr">
        <is>
          <t>cash_flow</t>
        </is>
      </c>
      <c r="C7" s="9" t="inlineStr"/>
      <c r="D7" s="9" t="inlineStr">
        <is>
          <t>Operating profit (per cash flow statement)</t>
        </is>
      </c>
      <c r="E7" s="9" t="inlineStr">
        <is>
          <t>FY2025</t>
        </is>
      </c>
      <c r="F7" s="9" t="inlineStr">
        <is>
          <t>as_reported</t>
        </is>
      </c>
      <c r="G7" s="10" t="n">
        <v>15380</v>
      </c>
      <c r="H7" s="9" t="inlineStr">
        <is>
          <t>millions</t>
        </is>
      </c>
      <c r="I7" s="9" t="inlineStr">
        <is>
          <t>currency</t>
        </is>
      </c>
      <c r="J7" s="9" t="inlineStr">
        <is>
          <t>ZAR</t>
        </is>
      </c>
      <c r="K7" s="11" t="n"/>
      <c r="L7" s="11" t="n"/>
      <c r="M7" s="9" t="inlineStr">
        <is>
          <t>operating_profit_cf</t>
        </is>
      </c>
      <c r="N7" s="9" t="inlineStr">
        <is>
          <t>NOTE: 15 380 here vs 14 943 on the income statement - cash flow includes discontinued operations</t>
        </is>
      </c>
    </row>
    <row r="8">
      <c r="A8" s="9" t="n">
        <v>4</v>
      </c>
      <c r="B8" s="9" t="inlineStr">
        <is>
          <t>cash_flow</t>
        </is>
      </c>
      <c r="C8" s="9" t="inlineStr"/>
      <c r="D8" s="9" t="inlineStr">
        <is>
          <t>Operating profit (per cash flow statement)</t>
        </is>
      </c>
      <c r="E8" s="9" t="inlineStr">
        <is>
          <t>FY2024</t>
        </is>
      </c>
      <c r="F8" s="9" t="inlineStr">
        <is>
          <t>as_reported</t>
        </is>
      </c>
      <c r="G8" s="10" t="n">
        <v>12828</v>
      </c>
      <c r="H8" s="9" t="inlineStr">
        <is>
          <t>millions</t>
        </is>
      </c>
      <c r="I8" s="9" t="inlineStr">
        <is>
          <t>currency</t>
        </is>
      </c>
      <c r="J8" s="9" t="inlineStr">
        <is>
          <t>ZAR</t>
        </is>
      </c>
      <c r="K8" s="11" t="n"/>
      <c r="L8" s="11" t="n"/>
      <c r="M8" s="9" t="inlineStr">
        <is>
          <t>operating_profit_cf</t>
        </is>
      </c>
      <c r="N8" s="9" t="inlineStr">
        <is>
          <t>Cash flow comparative NOT restated</t>
        </is>
      </c>
    </row>
    <row r="9">
      <c r="A9" s="9" t="n">
        <v>5</v>
      </c>
      <c r="B9" s="9" t="inlineStr">
        <is>
          <t>cash_flow</t>
        </is>
      </c>
      <c r="C9" s="9" t="inlineStr"/>
      <c r="D9" s="9" t="inlineStr">
        <is>
          <t>Less: investment income and interest revenue earned</t>
        </is>
      </c>
      <c r="E9" s="9" t="inlineStr">
        <is>
          <t>FY2025</t>
        </is>
      </c>
      <c r="F9" s="9" t="inlineStr">
        <is>
          <t>as_reported</t>
        </is>
      </c>
      <c r="G9" s="10" t="n">
        <v>-767</v>
      </c>
      <c r="H9" s="9" t="inlineStr">
        <is>
          <t>millions</t>
        </is>
      </c>
      <c r="I9" s="9" t="inlineStr">
        <is>
          <t>currency</t>
        </is>
      </c>
      <c r="J9" s="9" t="inlineStr">
        <is>
          <t>ZAR</t>
        </is>
      </c>
      <c r="K9" s="11" t="n"/>
      <c r="L9" s="11" t="n"/>
      <c r="M9" s="9" t="inlineStr">
        <is>
          <t>investment_income_removed</t>
        </is>
      </c>
      <c r="N9" s="9" t="inlineStr"/>
    </row>
    <row r="10">
      <c r="A10" s="9" t="n">
        <v>6</v>
      </c>
      <c r="B10" s="9" t="inlineStr">
        <is>
          <t>cash_flow</t>
        </is>
      </c>
      <c r="C10" s="9" t="inlineStr"/>
      <c r="D10" s="9" t="inlineStr">
        <is>
          <t>Less: investment income and interest revenue earned</t>
        </is>
      </c>
      <c r="E10" s="9" t="inlineStr">
        <is>
          <t>FY2024</t>
        </is>
      </c>
      <c r="F10" s="9" t="inlineStr">
        <is>
          <t>as_reported</t>
        </is>
      </c>
      <c r="G10" s="10" t="n">
        <v>-1009</v>
      </c>
      <c r="H10" s="9" t="inlineStr">
        <is>
          <t>millions</t>
        </is>
      </c>
      <c r="I10" s="9" t="inlineStr">
        <is>
          <t>currency</t>
        </is>
      </c>
      <c r="J10" s="9" t="inlineStr">
        <is>
          <t>ZAR</t>
        </is>
      </c>
      <c r="K10" s="11" t="n"/>
      <c r="L10" s="11" t="n"/>
      <c r="M10" s="9" t="inlineStr">
        <is>
          <t>investment_income_removed</t>
        </is>
      </c>
      <c r="N10" s="9" t="inlineStr">
        <is>
          <t>Cash flow comparative NOT restated</t>
        </is>
      </c>
    </row>
    <row r="11">
      <c r="A11" s="9" t="n">
        <v>7</v>
      </c>
      <c r="B11" s="9" t="inlineStr">
        <is>
          <t>cash_flow</t>
        </is>
      </c>
      <c r="C11" s="9" t="inlineStr">
        <is>
          <t>38.1</t>
        </is>
      </c>
      <c r="D11" s="9" t="inlineStr">
        <is>
          <t>Non-cash items</t>
        </is>
      </c>
      <c r="E11" s="9" t="inlineStr">
        <is>
          <t>FY2025</t>
        </is>
      </c>
      <c r="F11" s="9" t="inlineStr">
        <is>
          <t>as_reported</t>
        </is>
      </c>
      <c r="G11" s="10" t="n">
        <v>9589</v>
      </c>
      <c r="H11" s="9" t="inlineStr">
        <is>
          <t>millions</t>
        </is>
      </c>
      <c r="I11" s="9" t="inlineStr">
        <is>
          <t>currency</t>
        </is>
      </c>
      <c r="J11" s="9" t="inlineStr">
        <is>
          <t>ZAR</t>
        </is>
      </c>
      <c r="K11" s="11" t="n"/>
      <c r="L11" s="11" t="n"/>
      <c r="M11" s="9" t="inlineStr">
        <is>
          <t>non_cash_items</t>
        </is>
      </c>
      <c r="N11" s="9" t="inlineStr"/>
    </row>
    <row r="12">
      <c r="A12" s="9" t="n">
        <v>8</v>
      </c>
      <c r="B12" s="9" t="inlineStr">
        <is>
          <t>cash_flow</t>
        </is>
      </c>
      <c r="C12" s="9" t="inlineStr">
        <is>
          <t>38.1</t>
        </is>
      </c>
      <c r="D12" s="9" t="inlineStr">
        <is>
          <t>Non-cash items</t>
        </is>
      </c>
      <c r="E12" s="9" t="inlineStr">
        <is>
          <t>FY2024</t>
        </is>
      </c>
      <c r="F12" s="9" t="inlineStr">
        <is>
          <t>as_reported</t>
        </is>
      </c>
      <c r="G12" s="10" t="n">
        <v>8557</v>
      </c>
      <c r="H12" s="9" t="inlineStr">
        <is>
          <t>millions</t>
        </is>
      </c>
      <c r="I12" s="9" t="inlineStr">
        <is>
          <t>currency</t>
        </is>
      </c>
      <c r="J12" s="9" t="inlineStr">
        <is>
          <t>ZAR</t>
        </is>
      </c>
      <c r="K12" s="11" t="n"/>
      <c r="L12" s="11" t="n"/>
      <c r="M12" s="9" t="inlineStr">
        <is>
          <t>non_cash_items</t>
        </is>
      </c>
      <c r="N12" s="9" t="inlineStr">
        <is>
          <t>Cash flow comparative NOT restated</t>
        </is>
      </c>
    </row>
    <row r="13">
      <c r="A13" s="9" t="n">
        <v>9</v>
      </c>
      <c r="B13" s="9" t="inlineStr">
        <is>
          <t>cash_flow</t>
        </is>
      </c>
      <c r="C13" s="9" t="inlineStr">
        <is>
          <t>38.2</t>
        </is>
      </c>
      <c r="D13" s="9" t="inlineStr">
        <is>
          <t>Changes in working capital</t>
        </is>
      </c>
      <c r="E13" s="9" t="inlineStr">
        <is>
          <t>FY2025</t>
        </is>
      </c>
      <c r="F13" s="9" t="inlineStr">
        <is>
          <t>as_reported</t>
        </is>
      </c>
      <c r="G13" s="10" t="n">
        <v>-2312</v>
      </c>
      <c r="H13" s="9" t="inlineStr">
        <is>
          <t>millions</t>
        </is>
      </c>
      <c r="I13" s="9" t="inlineStr">
        <is>
          <t>currency</t>
        </is>
      </c>
      <c r="J13" s="9" t="inlineStr">
        <is>
          <t>ZAR</t>
        </is>
      </c>
      <c r="K13" s="11" t="n"/>
      <c r="L13" s="11" t="n"/>
      <c r="M13" s="9" t="inlineStr">
        <is>
          <t>working_capital_movement</t>
        </is>
      </c>
      <c r="N13" s="9" t="inlineStr"/>
    </row>
    <row r="14">
      <c r="A14" s="9" t="n">
        <v>10</v>
      </c>
      <c r="B14" s="9" t="inlineStr">
        <is>
          <t>cash_flow</t>
        </is>
      </c>
      <c r="C14" s="9" t="inlineStr">
        <is>
          <t>38.2</t>
        </is>
      </c>
      <c r="D14" s="9" t="inlineStr">
        <is>
          <t>Changes in working capital</t>
        </is>
      </c>
      <c r="E14" s="9" t="inlineStr">
        <is>
          <t>FY2024</t>
        </is>
      </c>
      <c r="F14" s="9" t="inlineStr">
        <is>
          <t>as_reported</t>
        </is>
      </c>
      <c r="G14" s="10" t="n">
        <v>3252</v>
      </c>
      <c r="H14" s="9" t="inlineStr">
        <is>
          <t>millions</t>
        </is>
      </c>
      <c r="I14" s="9" t="inlineStr">
        <is>
          <t>currency</t>
        </is>
      </c>
      <c r="J14" s="9" t="inlineStr">
        <is>
          <t>ZAR</t>
        </is>
      </c>
      <c r="K14" s="11" t="n"/>
      <c r="L14" s="11" t="n"/>
      <c r="M14" s="9" t="inlineStr">
        <is>
          <t>working_capital_movement</t>
        </is>
      </c>
      <c r="N14" s="9" t="inlineStr">
        <is>
          <t>Cash flow comparative NOT restated</t>
        </is>
      </c>
    </row>
    <row r="15">
      <c r="A15" s="9" t="n">
        <v>11</v>
      </c>
      <c r="B15" s="9" t="inlineStr">
        <is>
          <t>cash_flow</t>
        </is>
      </c>
      <c r="C15" s="9" t="inlineStr"/>
      <c r="D15" s="9" t="inlineStr">
        <is>
          <t>Cash generated from operations</t>
        </is>
      </c>
      <c r="E15" s="9" t="inlineStr">
        <is>
          <t>FY2025</t>
        </is>
      </c>
      <c r="F15" s="9" t="inlineStr">
        <is>
          <t>as_reported</t>
        </is>
      </c>
      <c r="G15" s="10" t="n">
        <v>21890</v>
      </c>
      <c r="H15" s="9" t="inlineStr">
        <is>
          <t>millions</t>
        </is>
      </c>
      <c r="I15" s="9" t="inlineStr">
        <is>
          <t>currency</t>
        </is>
      </c>
      <c r="J15" s="9" t="inlineStr">
        <is>
          <t>ZAR</t>
        </is>
      </c>
      <c r="K15" s="11" t="n"/>
      <c r="L15" s="11" t="n"/>
      <c r="M15" s="9" t="inlineStr">
        <is>
          <t>cash_generated_from_operations</t>
        </is>
      </c>
      <c r="N15" s="9" t="inlineStr"/>
    </row>
    <row r="16">
      <c r="A16" s="9" t="n">
        <v>12</v>
      </c>
      <c r="B16" s="9" t="inlineStr">
        <is>
          <t>cash_flow</t>
        </is>
      </c>
      <c r="C16" s="9" t="inlineStr"/>
      <c r="D16" s="9" t="inlineStr">
        <is>
          <t>Cash generated from operations</t>
        </is>
      </c>
      <c r="E16" s="9" t="inlineStr">
        <is>
          <t>FY2024</t>
        </is>
      </c>
      <c r="F16" s="9" t="inlineStr">
        <is>
          <t>as_reported</t>
        </is>
      </c>
      <c r="G16" s="10" t="n">
        <v>23628</v>
      </c>
      <c r="H16" s="9" t="inlineStr">
        <is>
          <t>millions</t>
        </is>
      </c>
      <c r="I16" s="9" t="inlineStr">
        <is>
          <t>currency</t>
        </is>
      </c>
      <c r="J16" s="9" t="inlineStr">
        <is>
          <t>ZAR</t>
        </is>
      </c>
      <c r="K16" s="11" t="n"/>
      <c r="L16" s="11" t="n"/>
      <c r="M16" s="9" t="inlineStr">
        <is>
          <t>cash_generated_from_operations</t>
        </is>
      </c>
      <c r="N16" s="9" t="inlineStr">
        <is>
          <t>Cash flow comparative NOT restated</t>
        </is>
      </c>
    </row>
    <row r="17">
      <c r="A17" s="9" t="n">
        <v>13</v>
      </c>
      <c r="B17" s="9" t="inlineStr">
        <is>
          <t>cash_flow</t>
        </is>
      </c>
      <c r="C17" s="9" t="inlineStr"/>
      <c r="D17" s="9" t="inlineStr">
        <is>
          <t>Interest received</t>
        </is>
      </c>
      <c r="E17" s="9" t="inlineStr">
        <is>
          <t>FY2025</t>
        </is>
      </c>
      <c r="F17" s="9" t="inlineStr">
        <is>
          <t>as_reported</t>
        </is>
      </c>
      <c r="G17" s="10" t="n">
        <v>861</v>
      </c>
      <c r="H17" s="9" t="inlineStr">
        <is>
          <t>millions</t>
        </is>
      </c>
      <c r="I17" s="9" t="inlineStr">
        <is>
          <t>currency</t>
        </is>
      </c>
      <c r="J17" s="9" t="inlineStr">
        <is>
          <t>ZAR</t>
        </is>
      </c>
      <c r="K17" s="11" t="n"/>
      <c r="L17" s="11" t="n"/>
      <c r="M17" s="9" t="inlineStr">
        <is>
          <t>interest_received_cf</t>
        </is>
      </c>
      <c r="N17" s="9" t="inlineStr"/>
    </row>
    <row r="18">
      <c r="A18" s="9" t="n">
        <v>14</v>
      </c>
      <c r="B18" s="9" t="inlineStr">
        <is>
          <t>cash_flow</t>
        </is>
      </c>
      <c r="C18" s="9" t="inlineStr"/>
      <c r="D18" s="9" t="inlineStr">
        <is>
          <t>Interest received</t>
        </is>
      </c>
      <c r="E18" s="9" t="inlineStr">
        <is>
          <t>FY2024</t>
        </is>
      </c>
      <c r="F18" s="9" t="inlineStr">
        <is>
          <t>as_reported</t>
        </is>
      </c>
      <c r="G18" s="10" t="n">
        <v>1212</v>
      </c>
      <c r="H18" s="9" t="inlineStr">
        <is>
          <t>millions</t>
        </is>
      </c>
      <c r="I18" s="9" t="inlineStr">
        <is>
          <t>currency</t>
        </is>
      </c>
      <c r="J18" s="9" t="inlineStr">
        <is>
          <t>ZAR</t>
        </is>
      </c>
      <c r="K18" s="11" t="n"/>
      <c r="L18" s="11" t="n"/>
      <c r="M18" s="9" t="inlineStr">
        <is>
          <t>interest_received_cf</t>
        </is>
      </c>
      <c r="N18" s="9" t="inlineStr">
        <is>
          <t>Cash flow comparative NOT restated</t>
        </is>
      </c>
    </row>
    <row r="19">
      <c r="A19" s="9" t="n">
        <v>15</v>
      </c>
      <c r="B19" s="9" t="inlineStr">
        <is>
          <t>cash_flow</t>
        </is>
      </c>
      <c r="C19" s="9" t="inlineStr"/>
      <c r="D19" s="9" t="inlineStr">
        <is>
          <t>Interest paid</t>
        </is>
      </c>
      <c r="E19" s="9" t="inlineStr">
        <is>
          <t>FY2025</t>
        </is>
      </c>
      <c r="F19" s="9" t="inlineStr">
        <is>
          <t>as_reported</t>
        </is>
      </c>
      <c r="G19" s="10" t="n">
        <v>-5166</v>
      </c>
      <c r="H19" s="9" t="inlineStr">
        <is>
          <t>millions</t>
        </is>
      </c>
      <c r="I19" s="9" t="inlineStr">
        <is>
          <t>currency</t>
        </is>
      </c>
      <c r="J19" s="9" t="inlineStr">
        <is>
          <t>ZAR</t>
        </is>
      </c>
      <c r="K19" s="11" t="n"/>
      <c r="L19" s="11" t="n"/>
      <c r="M19" s="9" t="inlineStr">
        <is>
          <t>interest_paid_cf</t>
        </is>
      </c>
      <c r="N19" s="9" t="inlineStr"/>
    </row>
    <row r="20">
      <c r="A20" s="9" t="n">
        <v>16</v>
      </c>
      <c r="B20" s="9" t="inlineStr">
        <is>
          <t>cash_flow</t>
        </is>
      </c>
      <c r="C20" s="9" t="inlineStr"/>
      <c r="D20" s="9" t="inlineStr">
        <is>
          <t>Interest paid</t>
        </is>
      </c>
      <c r="E20" s="9" t="inlineStr">
        <is>
          <t>FY2024</t>
        </is>
      </c>
      <c r="F20" s="9" t="inlineStr">
        <is>
          <t>as_reported</t>
        </is>
      </c>
      <c r="G20" s="10" t="n">
        <v>-4305</v>
      </c>
      <c r="H20" s="9" t="inlineStr">
        <is>
          <t>millions</t>
        </is>
      </c>
      <c r="I20" s="9" t="inlineStr">
        <is>
          <t>currency</t>
        </is>
      </c>
      <c r="J20" s="9" t="inlineStr">
        <is>
          <t>ZAR</t>
        </is>
      </c>
      <c r="K20" s="11" t="n"/>
      <c r="L20" s="11" t="n"/>
      <c r="M20" s="9" t="inlineStr">
        <is>
          <t>interest_paid_cf</t>
        </is>
      </c>
      <c r="N20" s="9" t="inlineStr">
        <is>
          <t>Cash flow comparative NOT restated</t>
        </is>
      </c>
    </row>
    <row r="21">
      <c r="A21" s="9" t="n">
        <v>17</v>
      </c>
      <c r="B21" s="9" t="inlineStr">
        <is>
          <t>cash_flow</t>
        </is>
      </c>
      <c r="C21" s="9" t="inlineStr"/>
      <c r="D21" s="9" t="inlineStr">
        <is>
          <t>Dividends received</t>
        </is>
      </c>
      <c r="E21" s="9" t="inlineStr">
        <is>
          <t>FY2025</t>
        </is>
      </c>
      <c r="F21" s="9" t="inlineStr">
        <is>
          <t>as_reported</t>
        </is>
      </c>
      <c r="G21" s="10" t="n">
        <v>750</v>
      </c>
      <c r="H21" s="9" t="inlineStr">
        <is>
          <t>millions</t>
        </is>
      </c>
      <c r="I21" s="9" t="inlineStr">
        <is>
          <t>currency</t>
        </is>
      </c>
      <c r="J21" s="9" t="inlineStr">
        <is>
          <t>ZAR</t>
        </is>
      </c>
      <c r="K21" s="11" t="n"/>
      <c r="L21" s="11" t="n"/>
      <c r="M21" s="9" t="inlineStr">
        <is>
          <t>dividends_received_cf</t>
        </is>
      </c>
      <c r="N21" s="9" t="inlineStr"/>
    </row>
    <row r="22">
      <c r="A22" s="9" t="n">
        <v>18</v>
      </c>
      <c r="B22" s="9" t="inlineStr">
        <is>
          <t>cash_flow</t>
        </is>
      </c>
      <c r="C22" s="9" t="inlineStr"/>
      <c r="D22" s="9" t="inlineStr">
        <is>
          <t>Dividends received</t>
        </is>
      </c>
      <c r="E22" s="9" t="inlineStr">
        <is>
          <t>FY2024</t>
        </is>
      </c>
      <c r="F22" s="9" t="inlineStr">
        <is>
          <t>as_reported</t>
        </is>
      </c>
      <c r="G22" s="10" t="n">
        <v>568</v>
      </c>
      <c r="H22" s="9" t="inlineStr">
        <is>
          <t>millions</t>
        </is>
      </c>
      <c r="I22" s="9" t="inlineStr">
        <is>
          <t>currency</t>
        </is>
      </c>
      <c r="J22" s="9" t="inlineStr">
        <is>
          <t>ZAR</t>
        </is>
      </c>
      <c r="K22" s="11" t="n"/>
      <c r="L22" s="11" t="n"/>
      <c r="M22" s="9" t="inlineStr">
        <is>
          <t>dividends_received_cf</t>
        </is>
      </c>
      <c r="N22" s="9" t="inlineStr">
        <is>
          <t>Cash flow comparative NOT restated</t>
        </is>
      </c>
    </row>
    <row r="23">
      <c r="A23" s="9" t="n">
        <v>19</v>
      </c>
      <c r="B23" s="9" t="inlineStr">
        <is>
          <t>cash_flow</t>
        </is>
      </c>
      <c r="C23" s="9" t="inlineStr">
        <is>
          <t>38.3</t>
        </is>
      </c>
      <c r="D23" s="9" t="inlineStr">
        <is>
          <t>Dividends paid</t>
        </is>
      </c>
      <c r="E23" s="9" t="inlineStr">
        <is>
          <t>FY2025</t>
        </is>
      </c>
      <c r="F23" s="9" t="inlineStr">
        <is>
          <t>as_reported</t>
        </is>
      </c>
      <c r="G23" s="10" t="n">
        <v>-3985</v>
      </c>
      <c r="H23" s="9" t="inlineStr">
        <is>
          <t>millions</t>
        </is>
      </c>
      <c r="I23" s="9" t="inlineStr">
        <is>
          <t>currency</t>
        </is>
      </c>
      <c r="J23" s="9" t="inlineStr">
        <is>
          <t>ZAR</t>
        </is>
      </c>
      <c r="K23" s="11" t="n"/>
      <c r="L23" s="11" t="n"/>
      <c r="M23" s="9" t="inlineStr">
        <is>
          <t>dividends_paid_cf</t>
        </is>
      </c>
      <c r="N23" s="9" t="inlineStr"/>
    </row>
    <row r="24">
      <c r="A24" s="9" t="n">
        <v>20</v>
      </c>
      <c r="B24" s="9" t="inlineStr">
        <is>
          <t>cash_flow</t>
        </is>
      </c>
      <c r="C24" s="9" t="inlineStr">
        <is>
          <t>38.3</t>
        </is>
      </c>
      <c r="D24" s="9" t="inlineStr">
        <is>
          <t>Dividends paid</t>
        </is>
      </c>
      <c r="E24" s="9" t="inlineStr">
        <is>
          <t>FY2024</t>
        </is>
      </c>
      <c r="F24" s="9" t="inlineStr">
        <is>
          <t>as_reported</t>
        </is>
      </c>
      <c r="G24" s="10" t="n">
        <v>-3743</v>
      </c>
      <c r="H24" s="9" t="inlineStr">
        <is>
          <t>millions</t>
        </is>
      </c>
      <c r="I24" s="9" t="inlineStr">
        <is>
          <t>currency</t>
        </is>
      </c>
      <c r="J24" s="9" t="inlineStr">
        <is>
          <t>ZAR</t>
        </is>
      </c>
      <c r="K24" s="11" t="n"/>
      <c r="L24" s="11" t="n"/>
      <c r="M24" s="9" t="inlineStr">
        <is>
          <t>dividends_paid_cf</t>
        </is>
      </c>
      <c r="N24" s="9" t="inlineStr">
        <is>
          <t>Cash flow comparative NOT restated</t>
        </is>
      </c>
    </row>
    <row r="25">
      <c r="A25" s="9" t="n">
        <v>21</v>
      </c>
      <c r="B25" s="9" t="inlineStr">
        <is>
          <t>cash_flow</t>
        </is>
      </c>
      <c r="C25" s="9" t="inlineStr">
        <is>
          <t>38.4</t>
        </is>
      </c>
      <c r="D25" s="9" t="inlineStr">
        <is>
          <t>Income tax paid</t>
        </is>
      </c>
      <c r="E25" s="9" t="inlineStr">
        <is>
          <t>FY2025</t>
        </is>
      </c>
      <c r="F25" s="9" t="inlineStr">
        <is>
          <t>as_reported</t>
        </is>
      </c>
      <c r="G25" s="10" t="n">
        <v>-3366</v>
      </c>
      <c r="H25" s="9" t="inlineStr">
        <is>
          <t>millions</t>
        </is>
      </c>
      <c r="I25" s="9" t="inlineStr">
        <is>
          <t>currency</t>
        </is>
      </c>
      <c r="J25" s="9" t="inlineStr">
        <is>
          <t>ZAR</t>
        </is>
      </c>
      <c r="K25" s="11" t="n"/>
      <c r="L25" s="11" t="n"/>
      <c r="M25" s="9" t="inlineStr">
        <is>
          <t>income_tax_paid_cf</t>
        </is>
      </c>
      <c r="N25" s="9" t="inlineStr"/>
    </row>
    <row r="26">
      <c r="A26" s="9" t="n">
        <v>22</v>
      </c>
      <c r="B26" s="9" t="inlineStr">
        <is>
          <t>cash_flow</t>
        </is>
      </c>
      <c r="C26" s="9" t="inlineStr">
        <is>
          <t>38.4</t>
        </is>
      </c>
      <c r="D26" s="9" t="inlineStr">
        <is>
          <t>Income tax paid</t>
        </is>
      </c>
      <c r="E26" s="9" t="inlineStr">
        <is>
          <t>FY2024</t>
        </is>
      </c>
      <c r="F26" s="9" t="inlineStr">
        <is>
          <t>as_reported</t>
        </is>
      </c>
      <c r="G26" s="10" t="n">
        <v>-3519</v>
      </c>
      <c r="H26" s="9" t="inlineStr">
        <is>
          <t>millions</t>
        </is>
      </c>
      <c r="I26" s="9" t="inlineStr">
        <is>
          <t>currency</t>
        </is>
      </c>
      <c r="J26" s="9" t="inlineStr">
        <is>
          <t>ZAR</t>
        </is>
      </c>
      <c r="K26" s="11" t="n"/>
      <c r="L26" s="11" t="n"/>
      <c r="M26" s="9" t="inlineStr">
        <is>
          <t>income_tax_paid_cf</t>
        </is>
      </c>
      <c r="N26" s="9" t="inlineStr">
        <is>
          <t>Cash flow comparative NOT restated</t>
        </is>
      </c>
    </row>
    <row r="27">
      <c r="A27" s="9" t="n">
        <v>23</v>
      </c>
      <c r="B27" s="9" t="inlineStr">
        <is>
          <t>cash_flow</t>
        </is>
      </c>
      <c r="C27" s="9" t="inlineStr"/>
      <c r="D27" s="9" t="inlineStr">
        <is>
          <t>Cash flows utilised by investing activities</t>
        </is>
      </c>
      <c r="E27" s="9" t="inlineStr">
        <is>
          <t>FY2025</t>
        </is>
      </c>
      <c r="F27" s="9" t="inlineStr">
        <is>
          <t>as_reported</t>
        </is>
      </c>
      <c r="G27" s="10" t="n">
        <v>-7365</v>
      </c>
      <c r="H27" s="9" t="inlineStr">
        <is>
          <t>millions</t>
        </is>
      </c>
      <c r="I27" s="9" t="inlineStr">
        <is>
          <t>currency</t>
        </is>
      </c>
      <c r="J27" s="9" t="inlineStr">
        <is>
          <t>ZAR</t>
        </is>
      </c>
      <c r="K27" s="11" t="n"/>
      <c r="L27" s="11" t="n"/>
      <c r="M27" s="9" t="inlineStr">
        <is>
          <t>cash_from_investing_activities</t>
        </is>
      </c>
      <c r="N27" s="9" t="inlineStr"/>
    </row>
    <row r="28">
      <c r="A28" s="9" t="n">
        <v>24</v>
      </c>
      <c r="B28" s="9" t="inlineStr">
        <is>
          <t>cash_flow</t>
        </is>
      </c>
      <c r="C28" s="9" t="inlineStr"/>
      <c r="D28" s="9" t="inlineStr">
        <is>
          <t>Cash flows utilised by investing activities</t>
        </is>
      </c>
      <c r="E28" s="9" t="inlineStr">
        <is>
          <t>FY2024</t>
        </is>
      </c>
      <c r="F28" s="9" t="inlineStr">
        <is>
          <t>as_reported</t>
        </is>
      </c>
      <c r="G28" s="10" t="n">
        <v>-6779</v>
      </c>
      <c r="H28" s="9" t="inlineStr">
        <is>
          <t>millions</t>
        </is>
      </c>
      <c r="I28" s="9" t="inlineStr">
        <is>
          <t>currency</t>
        </is>
      </c>
      <c r="J28" s="9" t="inlineStr">
        <is>
          <t>ZAR</t>
        </is>
      </c>
      <c r="K28" s="11" t="n"/>
      <c r="L28" s="11" t="n"/>
      <c r="M28" s="9" t="inlineStr">
        <is>
          <t>cash_from_investing_activities</t>
        </is>
      </c>
      <c r="N28" s="9" t="inlineStr">
        <is>
          <t>Cash flow comparative NOT restated</t>
        </is>
      </c>
    </row>
    <row r="29">
      <c r="A29" s="9" t="n">
        <v>25</v>
      </c>
      <c r="B29" s="9" t="inlineStr">
        <is>
          <t>cash_flow</t>
        </is>
      </c>
      <c r="C29" s="9" t="inlineStr"/>
      <c r="D29" s="9" t="inlineStr">
        <is>
          <t>Investment in property, plant and equipment and other intangible assets to expand operations</t>
        </is>
      </c>
      <c r="E29" s="9" t="inlineStr">
        <is>
          <t>FY2025</t>
        </is>
      </c>
      <c r="F29" s="9" t="inlineStr">
        <is>
          <t>as_reported</t>
        </is>
      </c>
      <c r="G29" s="10" t="n">
        <v>-6320</v>
      </c>
      <c r="H29" s="9" t="inlineStr">
        <is>
          <t>millions</t>
        </is>
      </c>
      <c r="I29" s="9" t="inlineStr">
        <is>
          <t>currency</t>
        </is>
      </c>
      <c r="J29" s="9" t="inlineStr">
        <is>
          <t>ZAR</t>
        </is>
      </c>
      <c r="K29" s="11" t="n"/>
      <c r="L29" s="11" t="n"/>
      <c r="M29" s="9" t="inlineStr">
        <is>
          <t>capex_expansion</t>
        </is>
      </c>
      <c r="N29" s="9" t="inlineStr">
        <is>
          <t>Shoprite splits capex expand vs maintain - useful, not all retailers do</t>
        </is>
      </c>
    </row>
    <row r="30">
      <c r="A30" s="9" t="n">
        <v>26</v>
      </c>
      <c r="B30" s="9" t="inlineStr">
        <is>
          <t>cash_flow</t>
        </is>
      </c>
      <c r="C30" s="9" t="inlineStr"/>
      <c r="D30" s="9" t="inlineStr">
        <is>
          <t>Investment in property, plant and equipment and other intangible assets to expand operations</t>
        </is>
      </c>
      <c r="E30" s="9" t="inlineStr">
        <is>
          <t>FY2024</t>
        </is>
      </c>
      <c r="F30" s="9" t="inlineStr">
        <is>
          <t>as_reported</t>
        </is>
      </c>
      <c r="G30" s="10" t="n">
        <v>-5718</v>
      </c>
      <c r="H30" s="9" t="inlineStr">
        <is>
          <t>millions</t>
        </is>
      </c>
      <c r="I30" s="9" t="inlineStr">
        <is>
          <t>currency</t>
        </is>
      </c>
      <c r="J30" s="9" t="inlineStr">
        <is>
          <t>ZAR</t>
        </is>
      </c>
      <c r="K30" s="11" t="n"/>
      <c r="L30" s="11" t="n"/>
      <c r="M30" s="9" t="inlineStr">
        <is>
          <t>capex_expansion</t>
        </is>
      </c>
      <c r="N30" s="9" t="inlineStr">
        <is>
          <t>Cash flow comparative NOT restated</t>
        </is>
      </c>
    </row>
    <row r="31">
      <c r="A31" s="9" t="n">
        <v>27</v>
      </c>
      <c r="B31" s="9" t="inlineStr">
        <is>
          <t>cash_flow</t>
        </is>
      </c>
      <c r="C31" s="9" t="inlineStr"/>
      <c r="D31" s="9" t="inlineStr">
        <is>
          <t>Investment in property, plant and equipment and other intangible assets to maintain operations</t>
        </is>
      </c>
      <c r="E31" s="9" t="inlineStr">
        <is>
          <t>FY2025</t>
        </is>
      </c>
      <c r="F31" s="9" t="inlineStr">
        <is>
          <t>as_reported</t>
        </is>
      </c>
      <c r="G31" s="10" t="n">
        <v>-1679</v>
      </c>
      <c r="H31" s="9" t="inlineStr">
        <is>
          <t>millions</t>
        </is>
      </c>
      <c r="I31" s="9" t="inlineStr">
        <is>
          <t>currency</t>
        </is>
      </c>
      <c r="J31" s="9" t="inlineStr">
        <is>
          <t>ZAR</t>
        </is>
      </c>
      <c r="K31" s="11" t="n"/>
      <c r="L31" s="11" t="n"/>
      <c r="M31" s="9" t="inlineStr">
        <is>
          <t>capex_maintenance</t>
        </is>
      </c>
      <c r="N31" s="9" t="inlineStr"/>
    </row>
    <row r="32">
      <c r="A32" s="9" t="n">
        <v>28</v>
      </c>
      <c r="B32" s="9" t="inlineStr">
        <is>
          <t>cash_flow</t>
        </is>
      </c>
      <c r="C32" s="9" t="inlineStr"/>
      <c r="D32" s="9" t="inlineStr">
        <is>
          <t>Investment in property, plant and equipment and other intangible assets to maintain operations</t>
        </is>
      </c>
      <c r="E32" s="9" t="inlineStr">
        <is>
          <t>FY2024</t>
        </is>
      </c>
      <c r="F32" s="9" t="inlineStr">
        <is>
          <t>as_reported</t>
        </is>
      </c>
      <c r="G32" s="10" t="n">
        <v>-2012</v>
      </c>
      <c r="H32" s="9" t="inlineStr">
        <is>
          <t>millions</t>
        </is>
      </c>
      <c r="I32" s="9" t="inlineStr">
        <is>
          <t>currency</t>
        </is>
      </c>
      <c r="J32" s="9" t="inlineStr">
        <is>
          <t>ZAR</t>
        </is>
      </c>
      <c r="K32" s="11" t="n"/>
      <c r="L32" s="11" t="n"/>
      <c r="M32" s="9" t="inlineStr">
        <is>
          <t>capex_maintenance</t>
        </is>
      </c>
      <c r="N32" s="9" t="inlineStr">
        <is>
          <t>Cash flow comparative NOT restated</t>
        </is>
      </c>
    </row>
    <row r="33">
      <c r="A33" s="9" t="n">
        <v>29</v>
      </c>
      <c r="B33" s="9" t="inlineStr">
        <is>
          <t>cash_flow</t>
        </is>
      </c>
      <c r="C33" s="9" t="inlineStr"/>
      <c r="D33" s="9" t="inlineStr">
        <is>
          <t>Payment for investment in insurance cell captive arrangements</t>
        </is>
      </c>
      <c r="E33" s="9" t="inlineStr">
        <is>
          <t>FY2025</t>
        </is>
      </c>
      <c r="F33" s="9" t="inlineStr">
        <is>
          <t>as_reported</t>
        </is>
      </c>
      <c r="G33" s="10" t="n">
        <v>-10</v>
      </c>
      <c r="H33" s="9" t="inlineStr">
        <is>
          <t>millions</t>
        </is>
      </c>
      <c r="I33" s="9" t="inlineStr">
        <is>
          <t>currency</t>
        </is>
      </c>
      <c r="J33" s="9" t="inlineStr">
        <is>
          <t>ZAR</t>
        </is>
      </c>
      <c r="K33" s="11" t="n"/>
      <c r="L33" s="11" t="n"/>
      <c r="M33" s="9" t="inlineStr">
        <is>
          <t>payment_insurance_cell</t>
        </is>
      </c>
      <c r="N33" s="9" t="inlineStr"/>
    </row>
    <row r="34">
      <c r="A34" s="9" t="n">
        <v>30</v>
      </c>
      <c r="B34" s="9" t="inlineStr">
        <is>
          <t>cash_flow</t>
        </is>
      </c>
      <c r="C34" s="9" t="inlineStr"/>
      <c r="D34" s="9" t="inlineStr">
        <is>
          <t>Payment for investment in insurance cell captive arrangements</t>
        </is>
      </c>
      <c r="E34" s="9" t="inlineStr">
        <is>
          <t>FY2024</t>
        </is>
      </c>
      <c r="F34" s="9" t="inlineStr">
        <is>
          <t>as_reported</t>
        </is>
      </c>
      <c r="G34" s="10" t="n">
        <v>0</v>
      </c>
      <c r="H34" s="9" t="inlineStr">
        <is>
          <t>millions</t>
        </is>
      </c>
      <c r="I34" s="9" t="inlineStr">
        <is>
          <t>currency</t>
        </is>
      </c>
      <c r="J34" s="9" t="inlineStr">
        <is>
          <t>ZAR</t>
        </is>
      </c>
      <c r="K34" s="11" t="n"/>
      <c r="L34" s="11" t="n"/>
      <c r="M34" s="9" t="inlineStr">
        <is>
          <t>payment_insurance_cell</t>
        </is>
      </c>
      <c r="N34" s="9" t="inlineStr">
        <is>
          <t>Cash flow comparative NOT restated</t>
        </is>
      </c>
    </row>
    <row r="35">
      <c r="A35" s="9" t="n">
        <v>31</v>
      </c>
      <c r="B35" s="9" t="inlineStr">
        <is>
          <t>cash_flow</t>
        </is>
      </c>
      <c r="C35" s="9" t="inlineStr"/>
      <c r="D35" s="9" t="inlineStr">
        <is>
          <t>Investment in assets classified as held for sale</t>
        </is>
      </c>
      <c r="E35" s="9" t="inlineStr">
        <is>
          <t>FY2025</t>
        </is>
      </c>
      <c r="F35" s="9" t="inlineStr">
        <is>
          <t>as_reported</t>
        </is>
      </c>
      <c r="G35" s="10" t="n">
        <v>-11</v>
      </c>
      <c r="H35" s="9" t="inlineStr">
        <is>
          <t>millions</t>
        </is>
      </c>
      <c r="I35" s="9" t="inlineStr">
        <is>
          <t>currency</t>
        </is>
      </c>
      <c r="J35" s="9" t="inlineStr">
        <is>
          <t>ZAR</t>
        </is>
      </c>
      <c r="K35" s="11" t="n"/>
      <c r="L35" s="11" t="n"/>
      <c r="M35" s="9" t="inlineStr">
        <is>
          <t>investment_assets_held_for_sale</t>
        </is>
      </c>
      <c r="N35" s="9" t="inlineStr"/>
    </row>
    <row r="36">
      <c r="A36" s="9" t="n">
        <v>32</v>
      </c>
      <c r="B36" s="9" t="inlineStr">
        <is>
          <t>cash_flow</t>
        </is>
      </c>
      <c r="C36" s="9" t="inlineStr"/>
      <c r="D36" s="9" t="inlineStr">
        <is>
          <t>Investment in assets classified as held for sale</t>
        </is>
      </c>
      <c r="E36" s="9" t="inlineStr">
        <is>
          <t>FY2024</t>
        </is>
      </c>
      <c r="F36" s="9" t="inlineStr">
        <is>
          <t>as_reported</t>
        </is>
      </c>
      <c r="G36" s="10" t="n">
        <v>-32</v>
      </c>
      <c r="H36" s="9" t="inlineStr">
        <is>
          <t>millions</t>
        </is>
      </c>
      <c r="I36" s="9" t="inlineStr">
        <is>
          <t>currency</t>
        </is>
      </c>
      <c r="J36" s="9" t="inlineStr">
        <is>
          <t>ZAR</t>
        </is>
      </c>
      <c r="K36" s="11" t="n"/>
      <c r="L36" s="11" t="n"/>
      <c r="M36" s="9" t="inlineStr">
        <is>
          <t>investment_assets_held_for_sale</t>
        </is>
      </c>
      <c r="N36" s="9" t="inlineStr">
        <is>
          <t>Cash flow comparative NOT restated</t>
        </is>
      </c>
    </row>
    <row r="37">
      <c r="A37" s="9" t="n">
        <v>33</v>
      </c>
      <c r="B37" s="9" t="inlineStr">
        <is>
          <t>cash_flow</t>
        </is>
      </c>
      <c r="C37" s="9" t="inlineStr"/>
      <c r="D37" s="9" t="inlineStr">
        <is>
          <t>Investment in convertible loans</t>
        </is>
      </c>
      <c r="E37" s="9" t="inlineStr">
        <is>
          <t>FY2025</t>
        </is>
      </c>
      <c r="F37" s="9" t="inlineStr">
        <is>
          <t>as_reported</t>
        </is>
      </c>
      <c r="G37" s="10" t="n">
        <v>0</v>
      </c>
      <c r="H37" s="9" t="inlineStr">
        <is>
          <t>millions</t>
        </is>
      </c>
      <c r="I37" s="9" t="inlineStr">
        <is>
          <t>currency</t>
        </is>
      </c>
      <c r="J37" s="9" t="inlineStr">
        <is>
          <t>ZAR</t>
        </is>
      </c>
      <c r="K37" s="11" t="n"/>
      <c r="L37" s="11" t="n"/>
      <c r="M37" s="9" t="inlineStr">
        <is>
          <t>investment_convertible_loans</t>
        </is>
      </c>
      <c r="N37" s="9" t="inlineStr"/>
    </row>
    <row r="38">
      <c r="A38" s="9" t="n">
        <v>34</v>
      </c>
      <c r="B38" s="9" t="inlineStr">
        <is>
          <t>cash_flow</t>
        </is>
      </c>
      <c r="C38" s="9" t="inlineStr"/>
      <c r="D38" s="9" t="inlineStr">
        <is>
          <t>Investment in convertible loans</t>
        </is>
      </c>
      <c r="E38" s="9" t="inlineStr">
        <is>
          <t>FY2024</t>
        </is>
      </c>
      <c r="F38" s="9" t="inlineStr">
        <is>
          <t>as_reported</t>
        </is>
      </c>
      <c r="G38" s="10" t="n">
        <v>-5</v>
      </c>
      <c r="H38" s="9" t="inlineStr">
        <is>
          <t>millions</t>
        </is>
      </c>
      <c r="I38" s="9" t="inlineStr">
        <is>
          <t>currency</t>
        </is>
      </c>
      <c r="J38" s="9" t="inlineStr">
        <is>
          <t>ZAR</t>
        </is>
      </c>
      <c r="K38" s="11" t="n"/>
      <c r="L38" s="11" t="n"/>
      <c r="M38" s="9" t="inlineStr">
        <is>
          <t>investment_convertible_loans</t>
        </is>
      </c>
      <c r="N38" s="9" t="inlineStr">
        <is>
          <t>Cash flow comparative NOT restated</t>
        </is>
      </c>
    </row>
    <row r="39">
      <c r="A39" s="9" t="n">
        <v>35</v>
      </c>
      <c r="B39" s="9" t="inlineStr">
        <is>
          <t>cash_flow</t>
        </is>
      </c>
      <c r="C39" s="9" t="inlineStr"/>
      <c r="D39" s="9" t="inlineStr">
        <is>
          <t>Payment for investments at fair value through other comprehensive income</t>
        </is>
      </c>
      <c r="E39" s="9" t="inlineStr">
        <is>
          <t>FY2025</t>
        </is>
      </c>
      <c r="F39" s="9" t="inlineStr">
        <is>
          <t>as_reported</t>
        </is>
      </c>
      <c r="G39" s="10" t="n">
        <v>0</v>
      </c>
      <c r="H39" s="9" t="inlineStr">
        <is>
          <t>millions</t>
        </is>
      </c>
      <c r="I39" s="9" t="inlineStr">
        <is>
          <t>currency</t>
        </is>
      </c>
      <c r="J39" s="9" t="inlineStr">
        <is>
          <t>ZAR</t>
        </is>
      </c>
      <c r="K39" s="11" t="n"/>
      <c r="L39" s="11" t="n"/>
      <c r="M39" s="9" t="inlineStr">
        <is>
          <t>payment_investments_fvoci</t>
        </is>
      </c>
      <c r="N39" s="9" t="inlineStr"/>
    </row>
    <row r="40">
      <c r="A40" s="9" t="n">
        <v>36</v>
      </c>
      <c r="B40" s="9" t="inlineStr">
        <is>
          <t>cash_flow</t>
        </is>
      </c>
      <c r="C40" s="9" t="inlineStr"/>
      <c r="D40" s="9" t="inlineStr">
        <is>
          <t>Payment for investments at fair value through other comprehensive income</t>
        </is>
      </c>
      <c r="E40" s="9" t="inlineStr">
        <is>
          <t>FY2024</t>
        </is>
      </c>
      <c r="F40" s="9" t="inlineStr">
        <is>
          <t>as_reported</t>
        </is>
      </c>
      <c r="G40" s="10" t="n">
        <v>-4</v>
      </c>
      <c r="H40" s="9" t="inlineStr">
        <is>
          <t>millions</t>
        </is>
      </c>
      <c r="I40" s="9" t="inlineStr">
        <is>
          <t>currency</t>
        </is>
      </c>
      <c r="J40" s="9" t="inlineStr">
        <is>
          <t>ZAR</t>
        </is>
      </c>
      <c r="K40" s="11" t="n"/>
      <c r="L40" s="11" t="n"/>
      <c r="M40" s="9" t="inlineStr">
        <is>
          <t>payment_investments_fvoci</t>
        </is>
      </c>
      <c r="N40" s="9" t="inlineStr">
        <is>
          <t>Cash flow comparative NOT restated</t>
        </is>
      </c>
    </row>
    <row r="41">
      <c r="A41" s="9" t="n">
        <v>37</v>
      </c>
      <c r="B41" s="9" t="inlineStr">
        <is>
          <t>cash_flow</t>
        </is>
      </c>
      <c r="C41" s="9" t="inlineStr"/>
      <c r="D41" s="9" t="inlineStr">
        <is>
          <t>Proceeds on disposal of property, plant and equipment and intangible assets</t>
        </is>
      </c>
      <c r="E41" s="9" t="inlineStr">
        <is>
          <t>FY2025</t>
        </is>
      </c>
      <c r="F41" s="9" t="inlineStr">
        <is>
          <t>as_reported</t>
        </is>
      </c>
      <c r="G41" s="10" t="n">
        <v>323</v>
      </c>
      <c r="H41" s="9" t="inlineStr">
        <is>
          <t>millions</t>
        </is>
      </c>
      <c r="I41" s="9" t="inlineStr">
        <is>
          <t>currency</t>
        </is>
      </c>
      <c r="J41" s="9" t="inlineStr">
        <is>
          <t>ZAR</t>
        </is>
      </c>
      <c r="K41" s="11" t="n"/>
      <c r="L41" s="11" t="n"/>
      <c r="M41" s="9" t="inlineStr">
        <is>
          <t>proceeds_disposal_ppe</t>
        </is>
      </c>
      <c r="N41" s="9" t="inlineStr"/>
    </row>
    <row r="42">
      <c r="A42" s="9" t="n">
        <v>38</v>
      </c>
      <c r="B42" s="9" t="inlineStr">
        <is>
          <t>cash_flow</t>
        </is>
      </c>
      <c r="C42" s="9" t="inlineStr"/>
      <c r="D42" s="9" t="inlineStr">
        <is>
          <t>Proceeds on disposal of property, plant and equipment and intangible assets</t>
        </is>
      </c>
      <c r="E42" s="9" t="inlineStr">
        <is>
          <t>FY2024</t>
        </is>
      </c>
      <c r="F42" s="9" t="inlineStr">
        <is>
          <t>as_reported</t>
        </is>
      </c>
      <c r="G42" s="10" t="n">
        <v>400</v>
      </c>
      <c r="H42" s="9" t="inlineStr">
        <is>
          <t>millions</t>
        </is>
      </c>
      <c r="I42" s="9" t="inlineStr">
        <is>
          <t>currency</t>
        </is>
      </c>
      <c r="J42" s="9" t="inlineStr">
        <is>
          <t>ZAR</t>
        </is>
      </c>
      <c r="K42" s="11" t="n"/>
      <c r="L42" s="11" t="n"/>
      <c r="M42" s="9" t="inlineStr">
        <is>
          <t>proceeds_disposal_ppe</t>
        </is>
      </c>
      <c r="N42" s="9" t="inlineStr">
        <is>
          <t>Cash flow comparative NOT restated</t>
        </is>
      </c>
    </row>
    <row r="43">
      <c r="A43" s="9" t="n">
        <v>39</v>
      </c>
      <c r="B43" s="9" t="inlineStr">
        <is>
          <t>cash_flow</t>
        </is>
      </c>
      <c r="C43" s="9" t="inlineStr">
        <is>
          <t>35.2</t>
        </is>
      </c>
      <c r="D43" s="9" t="inlineStr">
        <is>
          <t>Cash inflows as a result of the disposal of discontinued operations</t>
        </is>
      </c>
      <c r="E43" s="9" t="inlineStr">
        <is>
          <t>FY2025</t>
        </is>
      </c>
      <c r="F43" s="9" t="inlineStr">
        <is>
          <t>as_reported</t>
        </is>
      </c>
      <c r="G43" s="10" t="n">
        <v>9</v>
      </c>
      <c r="H43" s="9" t="inlineStr">
        <is>
          <t>millions</t>
        </is>
      </c>
      <c r="I43" s="9" t="inlineStr">
        <is>
          <t>currency</t>
        </is>
      </c>
      <c r="J43" s="9" t="inlineStr">
        <is>
          <t>ZAR</t>
        </is>
      </c>
      <c r="K43" s="11" t="n"/>
      <c r="L43" s="11" t="n"/>
      <c r="M43" s="9" t="inlineStr">
        <is>
          <t>proceeds_disposal_discontinued</t>
        </is>
      </c>
      <c r="N43" s="9" t="inlineStr"/>
    </row>
    <row r="44">
      <c r="A44" s="9" t="n">
        <v>40</v>
      </c>
      <c r="B44" s="9" t="inlineStr">
        <is>
          <t>cash_flow</t>
        </is>
      </c>
      <c r="C44" s="9" t="inlineStr">
        <is>
          <t>35.2</t>
        </is>
      </c>
      <c r="D44" s="9" t="inlineStr">
        <is>
          <t>Cash inflows as a result of the disposal of discontinued operations</t>
        </is>
      </c>
      <c r="E44" s="9" t="inlineStr">
        <is>
          <t>FY2024</t>
        </is>
      </c>
      <c r="F44" s="9" t="inlineStr">
        <is>
          <t>as_reported</t>
        </is>
      </c>
      <c r="G44" s="10" t="n">
        <v>39</v>
      </c>
      <c r="H44" s="9" t="inlineStr">
        <is>
          <t>millions</t>
        </is>
      </c>
      <c r="I44" s="9" t="inlineStr">
        <is>
          <t>currency</t>
        </is>
      </c>
      <c r="J44" s="9" t="inlineStr">
        <is>
          <t>ZAR</t>
        </is>
      </c>
      <c r="K44" s="11" t="n"/>
      <c r="L44" s="11" t="n"/>
      <c r="M44" s="9" t="inlineStr">
        <is>
          <t>proceeds_disposal_discontinued</t>
        </is>
      </c>
      <c r="N44" s="9" t="inlineStr">
        <is>
          <t>Cash flow comparative NOT restated</t>
        </is>
      </c>
    </row>
    <row r="45">
      <c r="A45" s="9" t="n">
        <v>41</v>
      </c>
      <c r="B45" s="9" t="inlineStr">
        <is>
          <t>cash_flow</t>
        </is>
      </c>
      <c r="C45" s="9" t="inlineStr"/>
      <c r="D45" s="9" t="inlineStr">
        <is>
          <t>Proceeds on disposal of assets classified as held for sale</t>
        </is>
      </c>
      <c r="E45" s="9" t="inlineStr">
        <is>
          <t>FY2025</t>
        </is>
      </c>
      <c r="F45" s="9" t="inlineStr">
        <is>
          <t>as_reported</t>
        </is>
      </c>
      <c r="G45" s="10" t="n">
        <v>774</v>
      </c>
      <c r="H45" s="9" t="inlineStr">
        <is>
          <t>millions</t>
        </is>
      </c>
      <c r="I45" s="9" t="inlineStr">
        <is>
          <t>currency</t>
        </is>
      </c>
      <c r="J45" s="9" t="inlineStr">
        <is>
          <t>ZAR</t>
        </is>
      </c>
      <c r="K45" s="11" t="n"/>
      <c r="L45" s="11" t="n"/>
      <c r="M45" s="9" t="inlineStr">
        <is>
          <t>proceeds_disposal_held_for_sale</t>
        </is>
      </c>
      <c r="N45" s="9" t="inlineStr">
        <is>
          <t>Includes R772m sale-and-leaseback (footnote 3)</t>
        </is>
      </c>
    </row>
    <row r="46">
      <c r="A46" s="9" t="n">
        <v>42</v>
      </c>
      <c r="B46" s="9" t="inlineStr">
        <is>
          <t>cash_flow</t>
        </is>
      </c>
      <c r="C46" s="9" t="inlineStr"/>
      <c r="D46" s="9" t="inlineStr">
        <is>
          <t>Proceeds on disposal of assets classified as held for sale</t>
        </is>
      </c>
      <c r="E46" s="9" t="inlineStr">
        <is>
          <t>FY2024</t>
        </is>
      </c>
      <c r="F46" s="9" t="inlineStr">
        <is>
          <t>as_reported</t>
        </is>
      </c>
      <c r="G46" s="10" t="n">
        <v>368</v>
      </c>
      <c r="H46" s="9" t="inlineStr">
        <is>
          <t>millions</t>
        </is>
      </c>
      <c r="I46" s="9" t="inlineStr">
        <is>
          <t>currency</t>
        </is>
      </c>
      <c r="J46" s="9" t="inlineStr">
        <is>
          <t>ZAR</t>
        </is>
      </c>
      <c r="K46" s="11" t="n"/>
      <c r="L46" s="11" t="n"/>
      <c r="M46" s="9" t="inlineStr">
        <is>
          <t>proceeds_disposal_held_for_sale</t>
        </is>
      </c>
      <c r="N46" s="9" t="inlineStr">
        <is>
          <t>Cash flow comparative NOT restated</t>
        </is>
      </c>
    </row>
    <row r="47">
      <c r="A47" s="9" t="n">
        <v>43</v>
      </c>
      <c r="B47" s="9" t="inlineStr">
        <is>
          <t>cash_flow</t>
        </is>
      </c>
      <c r="C47" s="9" t="inlineStr"/>
      <c r="D47" s="9" t="inlineStr">
        <is>
          <t>Payments for government bonds and bills</t>
        </is>
      </c>
      <c r="E47" s="9" t="inlineStr">
        <is>
          <t>FY2025</t>
        </is>
      </c>
      <c r="F47" s="9" t="inlineStr">
        <is>
          <t>as_reported</t>
        </is>
      </c>
      <c r="G47" s="10" t="n">
        <v>-791</v>
      </c>
      <c r="H47" s="9" t="inlineStr">
        <is>
          <t>millions</t>
        </is>
      </c>
      <c r="I47" s="9" t="inlineStr">
        <is>
          <t>currency</t>
        </is>
      </c>
      <c r="J47" s="9" t="inlineStr">
        <is>
          <t>ZAR</t>
        </is>
      </c>
      <c r="K47" s="11" t="n"/>
      <c r="L47" s="11" t="n"/>
      <c r="M47" s="9" t="inlineStr">
        <is>
          <t>payments_government_bonds</t>
        </is>
      </c>
      <c r="N47" s="9" t="inlineStr"/>
    </row>
    <row r="48">
      <c r="A48" s="9" t="n">
        <v>44</v>
      </c>
      <c r="B48" s="9" t="inlineStr">
        <is>
          <t>cash_flow</t>
        </is>
      </c>
      <c r="C48" s="9" t="inlineStr"/>
      <c r="D48" s="9" t="inlineStr">
        <is>
          <t>Payments for government bonds and bills</t>
        </is>
      </c>
      <c r="E48" s="9" t="inlineStr">
        <is>
          <t>FY2024</t>
        </is>
      </c>
      <c r="F48" s="9" t="inlineStr">
        <is>
          <t>as_reported</t>
        </is>
      </c>
      <c r="G48" s="10" t="n">
        <v>-339</v>
      </c>
      <c r="H48" s="9" t="inlineStr">
        <is>
          <t>millions</t>
        </is>
      </c>
      <c r="I48" s="9" t="inlineStr">
        <is>
          <t>currency</t>
        </is>
      </c>
      <c r="J48" s="9" t="inlineStr">
        <is>
          <t>ZAR</t>
        </is>
      </c>
      <c r="K48" s="11" t="n"/>
      <c r="L48" s="11" t="n"/>
      <c r="M48" s="9" t="inlineStr">
        <is>
          <t>payments_government_bonds</t>
        </is>
      </c>
      <c r="N48" s="9" t="inlineStr">
        <is>
          <t>Cash flow comparative NOT restated</t>
        </is>
      </c>
    </row>
    <row r="49">
      <c r="A49" s="9" t="n">
        <v>45</v>
      </c>
      <c r="B49" s="9" t="inlineStr">
        <is>
          <t>cash_flow</t>
        </is>
      </c>
      <c r="C49" s="9" t="inlineStr"/>
      <c r="D49" s="9" t="inlineStr">
        <is>
          <t>Proceeds from government bonds and bills</t>
        </is>
      </c>
      <c r="E49" s="9" t="inlineStr">
        <is>
          <t>FY2025</t>
        </is>
      </c>
      <c r="F49" s="9" t="inlineStr">
        <is>
          <t>as_reported</t>
        </is>
      </c>
      <c r="G49" s="10" t="n">
        <v>1061</v>
      </c>
      <c r="H49" s="9" t="inlineStr">
        <is>
          <t>millions</t>
        </is>
      </c>
      <c r="I49" s="9" t="inlineStr">
        <is>
          <t>currency</t>
        </is>
      </c>
      <c r="J49" s="9" t="inlineStr">
        <is>
          <t>ZAR</t>
        </is>
      </c>
      <c r="K49" s="11" t="n"/>
      <c r="L49" s="11" t="n"/>
      <c r="M49" s="9" t="inlineStr">
        <is>
          <t>proceeds_government_bonds</t>
        </is>
      </c>
      <c r="N49" s="9" t="inlineStr"/>
    </row>
    <row r="50">
      <c r="A50" s="9" t="n">
        <v>46</v>
      </c>
      <c r="B50" s="9" t="inlineStr">
        <is>
          <t>cash_flow</t>
        </is>
      </c>
      <c r="C50" s="9" t="inlineStr"/>
      <c r="D50" s="9" t="inlineStr">
        <is>
          <t>Proceeds from government bonds and bills</t>
        </is>
      </c>
      <c r="E50" s="9" t="inlineStr">
        <is>
          <t>FY2024</t>
        </is>
      </c>
      <c r="F50" s="9" t="inlineStr">
        <is>
          <t>as_reported</t>
        </is>
      </c>
      <c r="G50" s="10" t="n">
        <v>523</v>
      </c>
      <c r="H50" s="9" t="inlineStr">
        <is>
          <t>millions</t>
        </is>
      </c>
      <c r="I50" s="9" t="inlineStr">
        <is>
          <t>currency</t>
        </is>
      </c>
      <c r="J50" s="9" t="inlineStr">
        <is>
          <t>ZAR</t>
        </is>
      </c>
      <c r="K50" s="11" t="n"/>
      <c r="L50" s="11" t="n"/>
      <c r="M50" s="9" t="inlineStr">
        <is>
          <t>proceeds_government_bonds</t>
        </is>
      </c>
      <c r="N50" s="9" t="inlineStr">
        <is>
          <t>Cash flow comparative NOT restated</t>
        </is>
      </c>
    </row>
    <row r="51">
      <c r="A51" s="9" t="n">
        <v>47</v>
      </c>
      <c r="B51" s="9" t="inlineStr">
        <is>
          <t>cash_flow</t>
        </is>
      </c>
      <c r="C51" s="9" t="inlineStr"/>
      <c r="D51" s="9" t="inlineStr">
        <is>
          <t>Loans receivable advanced</t>
        </is>
      </c>
      <c r="E51" s="9" t="inlineStr">
        <is>
          <t>FY2025</t>
        </is>
      </c>
      <c r="F51" s="9" t="inlineStr">
        <is>
          <t>as_reported</t>
        </is>
      </c>
      <c r="G51" s="10" t="n">
        <v>-635</v>
      </c>
      <c r="H51" s="9" t="inlineStr">
        <is>
          <t>millions</t>
        </is>
      </c>
      <c r="I51" s="9" t="inlineStr">
        <is>
          <t>currency</t>
        </is>
      </c>
      <c r="J51" s="9" t="inlineStr">
        <is>
          <t>ZAR</t>
        </is>
      </c>
      <c r="K51" s="11" t="n"/>
      <c r="L51" s="11" t="n"/>
      <c r="M51" s="9" t="inlineStr">
        <is>
          <t>loans_advanced</t>
        </is>
      </c>
      <c r="N51" s="9" t="inlineStr"/>
    </row>
    <row r="52">
      <c r="A52" s="9" t="n">
        <v>48</v>
      </c>
      <c r="B52" s="9" t="inlineStr">
        <is>
          <t>cash_flow</t>
        </is>
      </c>
      <c r="C52" s="9" t="inlineStr"/>
      <c r="D52" s="9" t="inlineStr">
        <is>
          <t>Loans receivable advanced</t>
        </is>
      </c>
      <c r="E52" s="9" t="inlineStr">
        <is>
          <t>FY2024</t>
        </is>
      </c>
      <c r="F52" s="9" t="inlineStr">
        <is>
          <t>as_reported</t>
        </is>
      </c>
      <c r="G52" s="10" t="n">
        <v>-663</v>
      </c>
      <c r="H52" s="9" t="inlineStr">
        <is>
          <t>millions</t>
        </is>
      </c>
      <c r="I52" s="9" t="inlineStr">
        <is>
          <t>currency</t>
        </is>
      </c>
      <c r="J52" s="9" t="inlineStr">
        <is>
          <t>ZAR</t>
        </is>
      </c>
      <c r="K52" s="11" t="n"/>
      <c r="L52" s="11" t="n"/>
      <c r="M52" s="9" t="inlineStr">
        <is>
          <t>loans_advanced</t>
        </is>
      </c>
      <c r="N52" s="9" t="inlineStr">
        <is>
          <t>Cash flow comparative NOT restated</t>
        </is>
      </c>
    </row>
    <row r="53">
      <c r="A53" s="9" t="n">
        <v>49</v>
      </c>
      <c r="B53" s="9" t="inlineStr">
        <is>
          <t>cash_flow</t>
        </is>
      </c>
      <c r="C53" s="9" t="inlineStr"/>
      <c r="D53" s="9" t="inlineStr">
        <is>
          <t>Loans receivable repaid</t>
        </is>
      </c>
      <c r="E53" s="9" t="inlineStr">
        <is>
          <t>FY2025</t>
        </is>
      </c>
      <c r="F53" s="9" t="inlineStr">
        <is>
          <t>as_reported</t>
        </is>
      </c>
      <c r="G53" s="10" t="n">
        <v>578</v>
      </c>
      <c r="H53" s="9" t="inlineStr">
        <is>
          <t>millions</t>
        </is>
      </c>
      <c r="I53" s="9" t="inlineStr">
        <is>
          <t>currency</t>
        </is>
      </c>
      <c r="J53" s="9" t="inlineStr">
        <is>
          <t>ZAR</t>
        </is>
      </c>
      <c r="K53" s="11" t="n"/>
      <c r="L53" s="11" t="n"/>
      <c r="M53" s="9" t="inlineStr">
        <is>
          <t>loans_repaid</t>
        </is>
      </c>
      <c r="N53" s="9" t="inlineStr"/>
    </row>
    <row r="54">
      <c r="A54" s="9" t="n">
        <v>50</v>
      </c>
      <c r="B54" s="9" t="inlineStr">
        <is>
          <t>cash_flow</t>
        </is>
      </c>
      <c r="C54" s="9" t="inlineStr"/>
      <c r="D54" s="9" t="inlineStr">
        <is>
          <t>Loans receivable repaid</t>
        </is>
      </c>
      <c r="E54" s="9" t="inlineStr">
        <is>
          <t>FY2024</t>
        </is>
      </c>
      <c r="F54" s="9" t="inlineStr">
        <is>
          <t>as_reported</t>
        </is>
      </c>
      <c r="G54" s="10" t="n">
        <v>593</v>
      </c>
      <c r="H54" s="9" t="inlineStr">
        <is>
          <t>millions</t>
        </is>
      </c>
      <c r="I54" s="9" t="inlineStr">
        <is>
          <t>currency</t>
        </is>
      </c>
      <c r="J54" s="9" t="inlineStr">
        <is>
          <t>ZAR</t>
        </is>
      </c>
      <c r="K54" s="11" t="n"/>
      <c r="L54" s="11" t="n"/>
      <c r="M54" s="9" t="inlineStr">
        <is>
          <t>loans_repaid</t>
        </is>
      </c>
      <c r="N54" s="9" t="inlineStr">
        <is>
          <t>Cash flow comparative NOT restated</t>
        </is>
      </c>
    </row>
    <row r="55">
      <c r="A55" s="9" t="n">
        <v>51</v>
      </c>
      <c r="B55" s="9" t="inlineStr">
        <is>
          <t>cash_flow</t>
        </is>
      </c>
      <c r="C55" s="9" t="inlineStr"/>
      <c r="D55" s="9" t="inlineStr">
        <is>
          <t>Proceeds on disposal of investment in associate</t>
        </is>
      </c>
      <c r="E55" s="9" t="inlineStr">
        <is>
          <t>FY2025</t>
        </is>
      </c>
      <c r="F55" s="9" t="inlineStr">
        <is>
          <t>as_reported</t>
        </is>
      </c>
      <c r="G55" s="10" t="n">
        <v>1</v>
      </c>
      <c r="H55" s="9" t="inlineStr">
        <is>
          <t>millions</t>
        </is>
      </c>
      <c r="I55" s="9" t="inlineStr">
        <is>
          <t>currency</t>
        </is>
      </c>
      <c r="J55" s="9" t="inlineStr">
        <is>
          <t>ZAR</t>
        </is>
      </c>
      <c r="K55" s="11" t="n"/>
      <c r="L55" s="11" t="n"/>
      <c r="M55" s="9" t="inlineStr">
        <is>
          <t>proceeds_disposal_associate</t>
        </is>
      </c>
      <c r="N55" s="9" t="inlineStr"/>
    </row>
    <row r="56">
      <c r="A56" s="9" t="n">
        <v>52</v>
      </c>
      <c r="B56" s="9" t="inlineStr">
        <is>
          <t>cash_flow</t>
        </is>
      </c>
      <c r="C56" s="9" t="inlineStr"/>
      <c r="D56" s="9" t="inlineStr">
        <is>
          <t>Proceeds on disposal of investment in associate</t>
        </is>
      </c>
      <c r="E56" s="9" t="inlineStr">
        <is>
          <t>FY2024</t>
        </is>
      </c>
      <c r="F56" s="9" t="inlineStr">
        <is>
          <t>as_reported</t>
        </is>
      </c>
      <c r="G56" s="10" t="n">
        <v>0</v>
      </c>
      <c r="H56" s="9" t="inlineStr">
        <is>
          <t>millions</t>
        </is>
      </c>
      <c r="I56" s="9" t="inlineStr">
        <is>
          <t>currency</t>
        </is>
      </c>
      <c r="J56" s="9" t="inlineStr">
        <is>
          <t>ZAR</t>
        </is>
      </c>
      <c r="K56" s="11" t="n"/>
      <c r="L56" s="11" t="n"/>
      <c r="M56" s="9" t="inlineStr">
        <is>
          <t>proceeds_disposal_associate</t>
        </is>
      </c>
      <c r="N56" s="9" t="inlineStr">
        <is>
          <t>Cash flow comparative NOT restated</t>
        </is>
      </c>
    </row>
    <row r="57">
      <c r="A57" s="9" t="n">
        <v>53</v>
      </c>
      <c r="B57" s="9" t="inlineStr">
        <is>
          <t>cash_flow</t>
        </is>
      </c>
      <c r="C57" s="9" t="inlineStr"/>
      <c r="D57" s="9" t="inlineStr">
        <is>
          <t>Decrease in ring-fenced Angola tax guarantees</t>
        </is>
      </c>
      <c r="E57" s="9" t="inlineStr">
        <is>
          <t>FY2025</t>
        </is>
      </c>
      <c r="F57" s="9" t="inlineStr">
        <is>
          <t>as_reported</t>
        </is>
      </c>
      <c r="G57" s="10" t="n">
        <v>0</v>
      </c>
      <c r="H57" s="9" t="inlineStr">
        <is>
          <t>millions</t>
        </is>
      </c>
      <c r="I57" s="9" t="inlineStr">
        <is>
          <t>currency</t>
        </is>
      </c>
      <c r="J57" s="9" t="inlineStr">
        <is>
          <t>ZAR</t>
        </is>
      </c>
      <c r="K57" s="11" t="n"/>
      <c r="L57" s="11" t="n"/>
      <c r="M57" s="9" t="inlineStr">
        <is>
          <t>angola_tax_guarantees</t>
        </is>
      </c>
      <c r="N57" s="9" t="inlineStr"/>
    </row>
    <row r="58">
      <c r="A58" s="9" t="n">
        <v>54</v>
      </c>
      <c r="B58" s="9" t="inlineStr">
        <is>
          <t>cash_flow</t>
        </is>
      </c>
      <c r="C58" s="9" t="inlineStr"/>
      <c r="D58" s="9" t="inlineStr">
        <is>
          <t>Decrease in ring-fenced Angola tax guarantees</t>
        </is>
      </c>
      <c r="E58" s="9" t="inlineStr">
        <is>
          <t>FY2024</t>
        </is>
      </c>
      <c r="F58" s="9" t="inlineStr">
        <is>
          <t>as_reported</t>
        </is>
      </c>
      <c r="G58" s="10" t="n">
        <v>285</v>
      </c>
      <c r="H58" s="9" t="inlineStr">
        <is>
          <t>millions</t>
        </is>
      </c>
      <c r="I58" s="9" t="inlineStr">
        <is>
          <t>currency</t>
        </is>
      </c>
      <c r="J58" s="9" t="inlineStr">
        <is>
          <t>ZAR</t>
        </is>
      </c>
      <c r="K58" s="11" t="n"/>
      <c r="L58" s="11" t="n"/>
      <c r="M58" s="9" t="inlineStr">
        <is>
          <t>angola_tax_guarantees</t>
        </is>
      </c>
      <c r="N58" s="9" t="inlineStr">
        <is>
          <t>Cash flow comparative NOT restated</t>
        </is>
      </c>
    </row>
    <row r="59">
      <c r="A59" s="9" t="n">
        <v>55</v>
      </c>
      <c r="B59" s="9" t="inlineStr">
        <is>
          <t>cash_flow</t>
        </is>
      </c>
      <c r="C59" s="9" t="inlineStr">
        <is>
          <t>9</t>
        </is>
      </c>
      <c r="D59" s="9" t="inlineStr">
        <is>
          <t>Investment in associate</t>
        </is>
      </c>
      <c r="E59" s="9" t="inlineStr">
        <is>
          <t>FY2025</t>
        </is>
      </c>
      <c r="F59" s="9" t="inlineStr">
        <is>
          <t>as_reported</t>
        </is>
      </c>
      <c r="G59" s="10" t="n">
        <v>-111</v>
      </c>
      <c r="H59" s="9" t="inlineStr">
        <is>
          <t>millions</t>
        </is>
      </c>
      <c r="I59" s="9" t="inlineStr">
        <is>
          <t>currency</t>
        </is>
      </c>
      <c r="J59" s="9" t="inlineStr">
        <is>
          <t>ZAR</t>
        </is>
      </c>
      <c r="K59" s="11" t="n"/>
      <c r="L59" s="11" t="n"/>
      <c r="M59" s="9" t="inlineStr">
        <is>
          <t>investment_in_associate</t>
        </is>
      </c>
      <c r="N59" s="9" t="inlineStr"/>
    </row>
    <row r="60">
      <c r="A60" s="9" t="n">
        <v>56</v>
      </c>
      <c r="B60" s="9" t="inlineStr">
        <is>
          <t>cash_flow</t>
        </is>
      </c>
      <c r="C60" s="9" t="inlineStr">
        <is>
          <t>9</t>
        </is>
      </c>
      <c r="D60" s="9" t="inlineStr">
        <is>
          <t>Investment in associate</t>
        </is>
      </c>
      <c r="E60" s="9" t="inlineStr">
        <is>
          <t>FY2024</t>
        </is>
      </c>
      <c r="F60" s="9" t="inlineStr">
        <is>
          <t>as_reported</t>
        </is>
      </c>
      <c r="G60" s="10" t="n">
        <v>-119</v>
      </c>
      <c r="H60" s="9" t="inlineStr">
        <is>
          <t>millions</t>
        </is>
      </c>
      <c r="I60" s="9" t="inlineStr">
        <is>
          <t>currency</t>
        </is>
      </c>
      <c r="J60" s="9" t="inlineStr">
        <is>
          <t>ZAR</t>
        </is>
      </c>
      <c r="K60" s="11" t="n"/>
      <c r="L60" s="11" t="n"/>
      <c r="M60" s="9" t="inlineStr">
        <is>
          <t>investment_in_associate</t>
        </is>
      </c>
      <c r="N60" s="9" t="inlineStr">
        <is>
          <t>Cash flow comparative NOT restated</t>
        </is>
      </c>
    </row>
    <row r="61">
      <c r="A61" s="9" t="n">
        <v>57</v>
      </c>
      <c r="B61" s="9" t="inlineStr">
        <is>
          <t>cash_flow</t>
        </is>
      </c>
      <c r="C61" s="9" t="inlineStr">
        <is>
          <t>38.5</t>
        </is>
      </c>
      <c r="D61" s="9" t="inlineStr">
        <is>
          <t>Acquisition of Pingo Delivery (Pty) Ltd</t>
        </is>
      </c>
      <c r="E61" s="9" t="inlineStr">
        <is>
          <t>FY2025</t>
        </is>
      </c>
      <c r="F61" s="9" t="inlineStr">
        <is>
          <t>as_reported</t>
        </is>
      </c>
      <c r="G61" s="10" t="n">
        <v>-472</v>
      </c>
      <c r="H61" s="9" t="inlineStr">
        <is>
          <t>millions</t>
        </is>
      </c>
      <c r="I61" s="9" t="inlineStr">
        <is>
          <t>currency</t>
        </is>
      </c>
      <c r="J61" s="9" t="inlineStr">
        <is>
          <t>ZAR</t>
        </is>
      </c>
      <c r="K61" s="11" t="n"/>
      <c r="L61" s="11" t="n"/>
      <c r="M61" s="9" t="inlineStr">
        <is>
          <t>acquisition_pingo</t>
        </is>
      </c>
      <c r="N61" s="9" t="inlineStr"/>
    </row>
    <row r="62">
      <c r="A62" s="9" t="n">
        <v>58</v>
      </c>
      <c r="B62" s="9" t="inlineStr">
        <is>
          <t>cash_flow</t>
        </is>
      </c>
      <c r="C62" s="9" t="inlineStr">
        <is>
          <t>38.5</t>
        </is>
      </c>
      <c r="D62" s="9" t="inlineStr">
        <is>
          <t>Acquisition of Pingo Delivery (Pty) Ltd</t>
        </is>
      </c>
      <c r="E62" s="9" t="inlineStr">
        <is>
          <t>FY2024</t>
        </is>
      </c>
      <c r="F62" s="9" t="inlineStr">
        <is>
          <t>as_reported</t>
        </is>
      </c>
      <c r="G62" s="10" t="n">
        <v>0</v>
      </c>
      <c r="H62" s="9" t="inlineStr">
        <is>
          <t>millions</t>
        </is>
      </c>
      <c r="I62" s="9" t="inlineStr">
        <is>
          <t>currency</t>
        </is>
      </c>
      <c r="J62" s="9" t="inlineStr">
        <is>
          <t>ZAR</t>
        </is>
      </c>
      <c r="K62" s="11" t="n"/>
      <c r="L62" s="11" t="n"/>
      <c r="M62" s="9" t="inlineStr">
        <is>
          <t>acquisition_pingo</t>
        </is>
      </c>
      <c r="N62" s="9" t="inlineStr">
        <is>
          <t>Cash flow comparative NOT restated</t>
        </is>
      </c>
    </row>
    <row r="63">
      <c r="A63" s="9" t="n">
        <v>59</v>
      </c>
      <c r="B63" s="9" t="inlineStr">
        <is>
          <t>cash_flow</t>
        </is>
      </c>
      <c r="C63" s="9" t="inlineStr"/>
      <c r="D63" s="9" t="inlineStr">
        <is>
          <t>Acquisition of other subsidiaries and operations</t>
        </is>
      </c>
      <c r="E63" s="9" t="inlineStr">
        <is>
          <t>FY2025</t>
        </is>
      </c>
      <c r="F63" s="9" t="inlineStr">
        <is>
          <t>as_reported</t>
        </is>
      </c>
      <c r="G63" s="10" t="n">
        <v>-82</v>
      </c>
      <c r="H63" s="9" t="inlineStr">
        <is>
          <t>millions</t>
        </is>
      </c>
      <c r="I63" s="9" t="inlineStr">
        <is>
          <t>currency</t>
        </is>
      </c>
      <c r="J63" s="9" t="inlineStr">
        <is>
          <t>ZAR</t>
        </is>
      </c>
      <c r="K63" s="11" t="n"/>
      <c r="L63" s="11" t="n"/>
      <c r="M63" s="9" t="inlineStr">
        <is>
          <t>acquisition_other_subsidiaries</t>
        </is>
      </c>
      <c r="N63" s="9" t="inlineStr"/>
    </row>
    <row r="64">
      <c r="A64" s="9" t="n">
        <v>60</v>
      </c>
      <c r="B64" s="9" t="inlineStr">
        <is>
          <t>cash_flow</t>
        </is>
      </c>
      <c r="C64" s="9" t="inlineStr"/>
      <c r="D64" s="9" t="inlineStr">
        <is>
          <t>Acquisition of other subsidiaries and operations</t>
        </is>
      </c>
      <c r="E64" s="9" t="inlineStr">
        <is>
          <t>FY2024</t>
        </is>
      </c>
      <c r="F64" s="9" t="inlineStr">
        <is>
          <t>as_reported</t>
        </is>
      </c>
      <c r="G64" s="10" t="n">
        <v>-44</v>
      </c>
      <c r="H64" s="9" t="inlineStr">
        <is>
          <t>millions</t>
        </is>
      </c>
      <c r="I64" s="9" t="inlineStr">
        <is>
          <t>currency</t>
        </is>
      </c>
      <c r="J64" s="9" t="inlineStr">
        <is>
          <t>ZAR</t>
        </is>
      </c>
      <c r="K64" s="11" t="n"/>
      <c r="L64" s="11" t="n"/>
      <c r="M64" s="9" t="inlineStr">
        <is>
          <t>acquisition_other_subsidiaries</t>
        </is>
      </c>
      <c r="N64" s="9" t="inlineStr">
        <is>
          <t>Cash flow comparative NOT restated</t>
        </is>
      </c>
    </row>
    <row r="65">
      <c r="A65" s="9" t="n">
        <v>61</v>
      </c>
      <c r="B65" s="9" t="inlineStr">
        <is>
          <t>cash_flow</t>
        </is>
      </c>
      <c r="C65" s="9" t="inlineStr">
        <is>
          <t>38.6</t>
        </is>
      </c>
      <c r="D65" s="9" t="inlineStr">
        <is>
          <t>Cash outflow on disposal of investment in subsidiary</t>
        </is>
      </c>
      <c r="E65" s="9" t="inlineStr">
        <is>
          <t>FY2025</t>
        </is>
      </c>
      <c r="F65" s="9" t="inlineStr">
        <is>
          <t>as_reported</t>
        </is>
      </c>
      <c r="G65" s="10" t="n">
        <v>0</v>
      </c>
      <c r="H65" s="9" t="inlineStr">
        <is>
          <t>millions</t>
        </is>
      </c>
      <c r="I65" s="9" t="inlineStr">
        <is>
          <t>currency</t>
        </is>
      </c>
      <c r="J65" s="9" t="inlineStr">
        <is>
          <t>ZAR</t>
        </is>
      </c>
      <c r="K65" s="11" t="n"/>
      <c r="L65" s="11" t="n"/>
      <c r="M65" s="9" t="inlineStr">
        <is>
          <t>disposal_subsidiary_outflow</t>
        </is>
      </c>
      <c r="N65" s="9" t="inlineStr"/>
    </row>
    <row r="66">
      <c r="A66" s="9" t="n">
        <v>62</v>
      </c>
      <c r="B66" s="9" t="inlineStr">
        <is>
          <t>cash_flow</t>
        </is>
      </c>
      <c r="C66" s="9" t="inlineStr">
        <is>
          <t>38.6</t>
        </is>
      </c>
      <c r="D66" s="9" t="inlineStr">
        <is>
          <t>Cash outflow on disposal of investment in subsidiary</t>
        </is>
      </c>
      <c r="E66" s="9" t="inlineStr">
        <is>
          <t>FY2024</t>
        </is>
      </c>
      <c r="F66" s="9" t="inlineStr">
        <is>
          <t>as_reported</t>
        </is>
      </c>
      <c r="G66" s="10" t="n">
        <v>-51</v>
      </c>
      <c r="H66" s="9" t="inlineStr">
        <is>
          <t>millions</t>
        </is>
      </c>
      <c r="I66" s="9" t="inlineStr">
        <is>
          <t>currency</t>
        </is>
      </c>
      <c r="J66" s="9" t="inlineStr">
        <is>
          <t>ZAR</t>
        </is>
      </c>
      <c r="K66" s="11" t="n"/>
      <c r="L66" s="11" t="n"/>
      <c r="M66" s="9" t="inlineStr">
        <is>
          <t>disposal_subsidiary_outflow</t>
        </is>
      </c>
      <c r="N66" s="9" t="inlineStr">
        <is>
          <t>Cash flow comparative NOT restated</t>
        </is>
      </c>
    </row>
    <row r="67">
      <c r="A67" s="9" t="n">
        <v>63</v>
      </c>
      <c r="B67" s="9" t="inlineStr">
        <is>
          <t>cash_flow</t>
        </is>
      </c>
      <c r="C67" s="9" t="inlineStr"/>
      <c r="D67" s="9" t="inlineStr">
        <is>
          <t>Cash flows utilised by financing activities</t>
        </is>
      </c>
      <c r="E67" s="9" t="inlineStr">
        <is>
          <t>FY2025</t>
        </is>
      </c>
      <c r="F67" s="9" t="inlineStr">
        <is>
          <t>as_reported</t>
        </is>
      </c>
      <c r="G67" s="10" t="n">
        <v>-4298</v>
      </c>
      <c r="H67" s="9" t="inlineStr">
        <is>
          <t>millions</t>
        </is>
      </c>
      <c r="I67" s="9" t="inlineStr">
        <is>
          <t>currency</t>
        </is>
      </c>
      <c r="J67" s="9" t="inlineStr">
        <is>
          <t>ZAR</t>
        </is>
      </c>
      <c r="K67" s="11" t="n"/>
      <c r="L67" s="11" t="n"/>
      <c r="M67" s="9" t="inlineStr">
        <is>
          <t>cash_from_financing_activities</t>
        </is>
      </c>
      <c r="N67" s="9" t="inlineStr"/>
    </row>
    <row r="68">
      <c r="A68" s="9" t="n">
        <v>64</v>
      </c>
      <c r="B68" s="9" t="inlineStr">
        <is>
          <t>cash_flow</t>
        </is>
      </c>
      <c r="C68" s="9" t="inlineStr"/>
      <c r="D68" s="9" t="inlineStr">
        <is>
          <t>Cash flows utilised by financing activities</t>
        </is>
      </c>
      <c r="E68" s="9" t="inlineStr">
        <is>
          <t>FY2024</t>
        </is>
      </c>
      <c r="F68" s="9" t="inlineStr">
        <is>
          <t>as_reported</t>
        </is>
      </c>
      <c r="G68" s="10" t="n">
        <v>-4012</v>
      </c>
      <c r="H68" s="9" t="inlineStr">
        <is>
          <t>millions</t>
        </is>
      </c>
      <c r="I68" s="9" t="inlineStr">
        <is>
          <t>currency</t>
        </is>
      </c>
      <c r="J68" s="9" t="inlineStr">
        <is>
          <t>ZAR</t>
        </is>
      </c>
      <c r="K68" s="11" t="n"/>
      <c r="L68" s="11" t="n"/>
      <c r="M68" s="9" t="inlineStr">
        <is>
          <t>cash_from_financing_activities</t>
        </is>
      </c>
      <c r="N68" s="9" t="inlineStr">
        <is>
          <t>Cash flow comparative NOT restated</t>
        </is>
      </c>
    </row>
    <row r="69">
      <c r="A69" s="9" t="n">
        <v>65</v>
      </c>
      <c r="B69" s="9" t="inlineStr">
        <is>
          <t>cash_flow</t>
        </is>
      </c>
      <c r="C69" s="9" t="inlineStr">
        <is>
          <t>20</t>
        </is>
      </c>
      <c r="D69" s="9" t="inlineStr">
        <is>
          <t>Repayment of lease liability obligations</t>
        </is>
      </c>
      <c r="E69" s="9" t="inlineStr">
        <is>
          <t>FY2025</t>
        </is>
      </c>
      <c r="F69" s="9" t="inlineStr">
        <is>
          <t>as_reported</t>
        </is>
      </c>
      <c r="G69" s="10" t="n">
        <v>-3870</v>
      </c>
      <c r="H69" s="9" t="inlineStr">
        <is>
          <t>millions</t>
        </is>
      </c>
      <c r="I69" s="9" t="inlineStr">
        <is>
          <t>currency</t>
        </is>
      </c>
      <c r="J69" s="9" t="inlineStr">
        <is>
          <t>ZAR</t>
        </is>
      </c>
      <c r="K69" s="11" t="n"/>
      <c r="L69" s="11" t="n"/>
      <c r="M69" s="9" t="inlineStr">
        <is>
          <t>lease_repayments</t>
        </is>
      </c>
      <c r="N69" s="9" t="inlineStr">
        <is>
          <t>IFRS 16 - principal portion. Key input to any lease-adjusted cash flow</t>
        </is>
      </c>
    </row>
    <row r="70">
      <c r="A70" s="9" t="n">
        <v>66</v>
      </c>
      <c r="B70" s="9" t="inlineStr">
        <is>
          <t>cash_flow</t>
        </is>
      </c>
      <c r="C70" s="9" t="inlineStr">
        <is>
          <t>20</t>
        </is>
      </c>
      <c r="D70" s="9" t="inlineStr">
        <is>
          <t>Repayment of lease liability obligations</t>
        </is>
      </c>
      <c r="E70" s="9" t="inlineStr">
        <is>
          <t>FY2024</t>
        </is>
      </c>
      <c r="F70" s="9" t="inlineStr">
        <is>
          <t>as_reported</t>
        </is>
      </c>
      <c r="G70" s="10" t="n">
        <v>-3386</v>
      </c>
      <c r="H70" s="9" t="inlineStr">
        <is>
          <t>millions</t>
        </is>
      </c>
      <c r="I70" s="9" t="inlineStr">
        <is>
          <t>currency</t>
        </is>
      </c>
      <c r="J70" s="9" t="inlineStr">
        <is>
          <t>ZAR</t>
        </is>
      </c>
      <c r="K70" s="11" t="n"/>
      <c r="L70" s="11" t="n"/>
      <c r="M70" s="9" t="inlineStr">
        <is>
          <t>lease_repayments</t>
        </is>
      </c>
      <c r="N70" s="9" t="inlineStr">
        <is>
          <t>Cash flow comparative NOT restated</t>
        </is>
      </c>
    </row>
    <row r="71">
      <c r="A71" s="9" t="n">
        <v>67</v>
      </c>
      <c r="B71" s="9" t="inlineStr">
        <is>
          <t>cash_flow</t>
        </is>
      </c>
      <c r="C71" s="9" t="inlineStr"/>
      <c r="D71" s="9" t="inlineStr">
        <is>
          <t>Purchase of treasury shares</t>
        </is>
      </c>
      <c r="E71" s="9" t="inlineStr">
        <is>
          <t>FY2025</t>
        </is>
      </c>
      <c r="F71" s="9" t="inlineStr">
        <is>
          <t>as_reported</t>
        </is>
      </c>
      <c r="G71" s="10" t="n">
        <v>-1432</v>
      </c>
      <c r="H71" s="9" t="inlineStr">
        <is>
          <t>millions</t>
        </is>
      </c>
      <c r="I71" s="9" t="inlineStr">
        <is>
          <t>currency</t>
        </is>
      </c>
      <c r="J71" s="9" t="inlineStr">
        <is>
          <t>ZAR</t>
        </is>
      </c>
      <c r="K71" s="11" t="n"/>
      <c r="L71" s="11" t="n"/>
      <c r="M71" s="9" t="inlineStr">
        <is>
          <t>treasury_share_purchases</t>
        </is>
      </c>
      <c r="N71" s="9" t="inlineStr"/>
    </row>
    <row r="72">
      <c r="A72" s="9" t="n">
        <v>68</v>
      </c>
      <c r="B72" s="9" t="inlineStr">
        <is>
          <t>cash_flow</t>
        </is>
      </c>
      <c r="C72" s="9" t="inlineStr"/>
      <c r="D72" s="9" t="inlineStr">
        <is>
          <t>Purchase of treasury shares</t>
        </is>
      </c>
      <c r="E72" s="9" t="inlineStr">
        <is>
          <t>FY2024</t>
        </is>
      </c>
      <c r="F72" s="9" t="inlineStr">
        <is>
          <t>as_reported</t>
        </is>
      </c>
      <c r="G72" s="10" t="n">
        <v>-239</v>
      </c>
      <c r="H72" s="9" t="inlineStr">
        <is>
          <t>millions</t>
        </is>
      </c>
      <c r="I72" s="9" t="inlineStr">
        <is>
          <t>currency</t>
        </is>
      </c>
      <c r="J72" s="9" t="inlineStr">
        <is>
          <t>ZAR</t>
        </is>
      </c>
      <c r="K72" s="11" t="n"/>
      <c r="L72" s="11" t="n"/>
      <c r="M72" s="9" t="inlineStr">
        <is>
          <t>treasury_share_purchases</t>
        </is>
      </c>
      <c r="N72" s="9" t="inlineStr">
        <is>
          <t>Cash flow comparative NOT restated</t>
        </is>
      </c>
    </row>
    <row r="73">
      <c r="A73" s="9" t="n">
        <v>69</v>
      </c>
      <c r="B73" s="9" t="inlineStr">
        <is>
          <t>cash_flow</t>
        </is>
      </c>
      <c r="C73" s="9" t="inlineStr"/>
      <c r="D73" s="9" t="inlineStr">
        <is>
          <t>Proceeds from treasury shares disposed</t>
        </is>
      </c>
      <c r="E73" s="9" t="inlineStr">
        <is>
          <t>FY2025</t>
        </is>
      </c>
      <c r="F73" s="9" t="inlineStr">
        <is>
          <t>as_reported</t>
        </is>
      </c>
      <c r="G73" s="10" t="n">
        <v>38</v>
      </c>
      <c r="H73" s="9" t="inlineStr">
        <is>
          <t>millions</t>
        </is>
      </c>
      <c r="I73" s="9" t="inlineStr">
        <is>
          <t>currency</t>
        </is>
      </c>
      <c r="J73" s="9" t="inlineStr">
        <is>
          <t>ZAR</t>
        </is>
      </c>
      <c r="K73" s="11" t="n"/>
      <c r="L73" s="11" t="n"/>
      <c r="M73" s="9" t="inlineStr">
        <is>
          <t>treasury_share_proceeds</t>
        </is>
      </c>
      <c r="N73" s="9" t="inlineStr"/>
    </row>
    <row r="74">
      <c r="A74" s="9" t="n">
        <v>70</v>
      </c>
      <c r="B74" s="9" t="inlineStr">
        <is>
          <t>cash_flow</t>
        </is>
      </c>
      <c r="C74" s="9" t="inlineStr"/>
      <c r="D74" s="9" t="inlineStr">
        <is>
          <t>Proceeds from treasury shares disposed</t>
        </is>
      </c>
      <c r="E74" s="9" t="inlineStr">
        <is>
          <t>FY2024</t>
        </is>
      </c>
      <c r="F74" s="9" t="inlineStr">
        <is>
          <t>as_reported</t>
        </is>
      </c>
      <c r="G74" s="10" t="n">
        <v>11</v>
      </c>
      <c r="H74" s="9" t="inlineStr">
        <is>
          <t>millions</t>
        </is>
      </c>
      <c r="I74" s="9" t="inlineStr">
        <is>
          <t>currency</t>
        </is>
      </c>
      <c r="J74" s="9" t="inlineStr">
        <is>
          <t>ZAR</t>
        </is>
      </c>
      <c r="K74" s="11" t="n"/>
      <c r="L74" s="11" t="n"/>
      <c r="M74" s="9" t="inlineStr">
        <is>
          <t>treasury_share_proceeds</t>
        </is>
      </c>
      <c r="N74" s="9" t="inlineStr">
        <is>
          <t>Cash flow comparative NOT restated</t>
        </is>
      </c>
    </row>
    <row r="75">
      <c r="A75" s="9" t="n">
        <v>71</v>
      </c>
      <c r="B75" s="9" t="inlineStr">
        <is>
          <t>cash_flow</t>
        </is>
      </c>
      <c r="C75" s="9" t="inlineStr">
        <is>
          <t>21.1</t>
        </is>
      </c>
      <c r="D75" s="9" t="inlineStr">
        <is>
          <t>Repayment of borrowings</t>
        </is>
      </c>
      <c r="E75" s="9" t="inlineStr">
        <is>
          <t>FY2025</t>
        </is>
      </c>
      <c r="F75" s="9" t="inlineStr">
        <is>
          <t>as_reported</t>
        </is>
      </c>
      <c r="G75" s="10" t="n">
        <v>-1083</v>
      </c>
      <c r="H75" s="9" t="inlineStr">
        <is>
          <t>millions</t>
        </is>
      </c>
      <c r="I75" s="9" t="inlineStr">
        <is>
          <t>currency</t>
        </is>
      </c>
      <c r="J75" s="9" t="inlineStr">
        <is>
          <t>ZAR</t>
        </is>
      </c>
      <c r="K75" s="11" t="n"/>
      <c r="L75" s="11" t="n"/>
      <c r="M75" s="9" t="inlineStr">
        <is>
          <t>borrowings_repaid</t>
        </is>
      </c>
      <c r="N75" s="9" t="inlineStr"/>
    </row>
    <row r="76">
      <c r="A76" s="9" t="n">
        <v>72</v>
      </c>
      <c r="B76" s="9" t="inlineStr">
        <is>
          <t>cash_flow</t>
        </is>
      </c>
      <c r="C76" s="9" t="inlineStr">
        <is>
          <t>21.1</t>
        </is>
      </c>
      <c r="D76" s="9" t="inlineStr">
        <is>
          <t>Repayment of borrowings</t>
        </is>
      </c>
      <c r="E76" s="9" t="inlineStr">
        <is>
          <t>FY2024</t>
        </is>
      </c>
      <c r="F76" s="9" t="inlineStr">
        <is>
          <t>as_reported</t>
        </is>
      </c>
      <c r="G76" s="10" t="n">
        <v>-1714</v>
      </c>
      <c r="H76" s="9" t="inlineStr">
        <is>
          <t>millions</t>
        </is>
      </c>
      <c r="I76" s="9" t="inlineStr">
        <is>
          <t>currency</t>
        </is>
      </c>
      <c r="J76" s="9" t="inlineStr">
        <is>
          <t>ZAR</t>
        </is>
      </c>
      <c r="K76" s="11" t="n"/>
      <c r="L76" s="11" t="n"/>
      <c r="M76" s="9" t="inlineStr">
        <is>
          <t>borrowings_repaid</t>
        </is>
      </c>
      <c r="N76" s="9" t="inlineStr">
        <is>
          <t>Cash flow comparative NOT restated</t>
        </is>
      </c>
    </row>
    <row r="77">
      <c r="A77" s="9" t="n">
        <v>73</v>
      </c>
      <c r="B77" s="9" t="inlineStr">
        <is>
          <t>cash_flow</t>
        </is>
      </c>
      <c r="C77" s="9" t="inlineStr">
        <is>
          <t>21.1</t>
        </is>
      </c>
      <c r="D77" s="9" t="inlineStr">
        <is>
          <t>Borrowings raised</t>
        </is>
      </c>
      <c r="E77" s="9" t="inlineStr">
        <is>
          <t>FY2025</t>
        </is>
      </c>
      <c r="F77" s="9" t="inlineStr">
        <is>
          <t>as_reported</t>
        </is>
      </c>
      <c r="G77" s="10" t="n">
        <v>2049</v>
      </c>
      <c r="H77" s="9" t="inlineStr">
        <is>
          <t>millions</t>
        </is>
      </c>
      <c r="I77" s="9" t="inlineStr">
        <is>
          <t>currency</t>
        </is>
      </c>
      <c r="J77" s="9" t="inlineStr">
        <is>
          <t>ZAR</t>
        </is>
      </c>
      <c r="K77" s="11" t="n"/>
      <c r="L77" s="11" t="n"/>
      <c r="M77" s="9" t="inlineStr">
        <is>
          <t>borrowings_raised</t>
        </is>
      </c>
      <c r="N77" s="9" t="inlineStr"/>
    </row>
    <row r="78">
      <c r="A78" s="9" t="n">
        <v>74</v>
      </c>
      <c r="B78" s="9" t="inlineStr">
        <is>
          <t>cash_flow</t>
        </is>
      </c>
      <c r="C78" s="9" t="inlineStr">
        <is>
          <t>21.1</t>
        </is>
      </c>
      <c r="D78" s="9" t="inlineStr">
        <is>
          <t>Borrowings raised</t>
        </is>
      </c>
      <c r="E78" s="9" t="inlineStr">
        <is>
          <t>FY2024</t>
        </is>
      </c>
      <c r="F78" s="9" t="inlineStr">
        <is>
          <t>as_reported</t>
        </is>
      </c>
      <c r="G78" s="10" t="n">
        <v>1316</v>
      </c>
      <c r="H78" s="9" t="inlineStr">
        <is>
          <t>millions</t>
        </is>
      </c>
      <c r="I78" s="9" t="inlineStr">
        <is>
          <t>currency</t>
        </is>
      </c>
      <c r="J78" s="9" t="inlineStr">
        <is>
          <t>ZAR</t>
        </is>
      </c>
      <c r="K78" s="11" t="n"/>
      <c r="L78" s="11" t="n"/>
      <c r="M78" s="9" t="inlineStr">
        <is>
          <t>borrowings_raised</t>
        </is>
      </c>
      <c r="N78" s="9" t="inlineStr">
        <is>
          <t>Cash flow comparative NOT restated</t>
        </is>
      </c>
    </row>
    <row r="79">
      <c r="A79" s="9" t="n">
        <v>75</v>
      </c>
      <c r="B79" s="9" t="inlineStr">
        <is>
          <t>cash_flow</t>
        </is>
      </c>
      <c r="C79" s="9" t="inlineStr"/>
      <c r="D79" s="9" t="inlineStr">
        <is>
          <t>Net movement in cash and cash equivalents</t>
        </is>
      </c>
      <c r="E79" s="9" t="inlineStr">
        <is>
          <t>FY2025</t>
        </is>
      </c>
      <c r="F79" s="9" t="inlineStr">
        <is>
          <t>as_reported</t>
        </is>
      </c>
      <c r="G79" s="10" t="n">
        <v>-679</v>
      </c>
      <c r="H79" s="9" t="inlineStr">
        <is>
          <t>millions</t>
        </is>
      </c>
      <c r="I79" s="9" t="inlineStr">
        <is>
          <t>currency</t>
        </is>
      </c>
      <c r="J79" s="9" t="inlineStr">
        <is>
          <t>ZAR</t>
        </is>
      </c>
      <c r="K79" s="11" t="n"/>
      <c r="L79" s="11" t="n"/>
      <c r="M79" s="9" t="inlineStr">
        <is>
          <t>net_cash_movement</t>
        </is>
      </c>
      <c r="N79" s="9" t="inlineStr"/>
    </row>
    <row r="80">
      <c r="A80" s="9" t="n">
        <v>76</v>
      </c>
      <c r="B80" s="9" t="inlineStr">
        <is>
          <t>cash_flow</t>
        </is>
      </c>
      <c r="C80" s="9" t="inlineStr"/>
      <c r="D80" s="9" t="inlineStr">
        <is>
          <t>Net movement in cash and cash equivalents</t>
        </is>
      </c>
      <c r="E80" s="9" t="inlineStr">
        <is>
          <t>FY2024</t>
        </is>
      </c>
      <c r="F80" s="9" t="inlineStr">
        <is>
          <t>as_reported</t>
        </is>
      </c>
      <c r="G80" s="10" t="n">
        <v>3050</v>
      </c>
      <c r="H80" s="9" t="inlineStr">
        <is>
          <t>millions</t>
        </is>
      </c>
      <c r="I80" s="9" t="inlineStr">
        <is>
          <t>currency</t>
        </is>
      </c>
      <c r="J80" s="9" t="inlineStr">
        <is>
          <t>ZAR</t>
        </is>
      </c>
      <c r="K80" s="11" t="n"/>
      <c r="L80" s="11" t="n"/>
      <c r="M80" s="9" t="inlineStr">
        <is>
          <t>net_cash_movement</t>
        </is>
      </c>
      <c r="N80" s="9" t="inlineStr">
        <is>
          <t>Cash flow comparative NOT restated</t>
        </is>
      </c>
    </row>
    <row r="81">
      <c r="A81" s="9" t="n">
        <v>77</v>
      </c>
      <c r="B81" s="9" t="inlineStr">
        <is>
          <t>cash_flow</t>
        </is>
      </c>
      <c r="C81" s="9" t="inlineStr"/>
      <c r="D81" s="9" t="inlineStr">
        <is>
          <t>Cash and cash equivalents at the beginning of the year</t>
        </is>
      </c>
      <c r="E81" s="9" t="inlineStr">
        <is>
          <t>FY2025</t>
        </is>
      </c>
      <c r="F81" s="9" t="inlineStr">
        <is>
          <t>as_reported</t>
        </is>
      </c>
      <c r="G81" s="10" t="n">
        <v>10037</v>
      </c>
      <c r="H81" s="9" t="inlineStr">
        <is>
          <t>millions</t>
        </is>
      </c>
      <c r="I81" s="9" t="inlineStr">
        <is>
          <t>currency</t>
        </is>
      </c>
      <c r="J81" s="9" t="inlineStr">
        <is>
          <t>ZAR</t>
        </is>
      </c>
      <c r="K81" s="11" t="n"/>
      <c r="L81" s="11" t="n"/>
      <c r="M81" s="9" t="inlineStr">
        <is>
          <t>cash_opening</t>
        </is>
      </c>
      <c r="N81" s="9" t="inlineStr"/>
    </row>
    <row r="82">
      <c r="A82" s="9" t="n">
        <v>78</v>
      </c>
      <c r="B82" s="9" t="inlineStr">
        <is>
          <t>cash_flow</t>
        </is>
      </c>
      <c r="C82" s="9" t="inlineStr"/>
      <c r="D82" s="9" t="inlineStr">
        <is>
          <t>Cash and cash equivalents at the beginning of the year</t>
        </is>
      </c>
      <c r="E82" s="9" t="inlineStr">
        <is>
          <t>FY2024</t>
        </is>
      </c>
      <c r="F82" s="9" t="inlineStr">
        <is>
          <t>as_reported</t>
        </is>
      </c>
      <c r="G82" s="10" t="n">
        <v>7502</v>
      </c>
      <c r="H82" s="9" t="inlineStr">
        <is>
          <t>millions</t>
        </is>
      </c>
      <c r="I82" s="9" t="inlineStr">
        <is>
          <t>currency</t>
        </is>
      </c>
      <c r="J82" s="9" t="inlineStr">
        <is>
          <t>ZAR</t>
        </is>
      </c>
      <c r="K82" s="11" t="n"/>
      <c r="L82" s="11" t="n"/>
      <c r="M82" s="9" t="inlineStr">
        <is>
          <t>cash_opening</t>
        </is>
      </c>
      <c r="N82" s="9" t="inlineStr">
        <is>
          <t>Cash flow comparative NOT restated</t>
        </is>
      </c>
    </row>
    <row r="83">
      <c r="A83" s="9" t="n">
        <v>79</v>
      </c>
      <c r="B83" s="9" t="inlineStr">
        <is>
          <t>cash_flow</t>
        </is>
      </c>
      <c r="C83" s="9" t="inlineStr"/>
      <c r="D83" s="9" t="inlineStr">
        <is>
          <t>Effect of exchange rate movements and hyperinflation on cash and cash equivalents</t>
        </is>
      </c>
      <c r="E83" s="9" t="inlineStr">
        <is>
          <t>FY2025</t>
        </is>
      </c>
      <c r="F83" s="9" t="inlineStr">
        <is>
          <t>as_reported</t>
        </is>
      </c>
      <c r="G83" s="10" t="n">
        <v>-35</v>
      </c>
      <c r="H83" s="9" t="inlineStr">
        <is>
          <t>millions</t>
        </is>
      </c>
      <c r="I83" s="9" t="inlineStr">
        <is>
          <t>currency</t>
        </is>
      </c>
      <c r="J83" s="9" t="inlineStr">
        <is>
          <t>ZAR</t>
        </is>
      </c>
      <c r="K83" s="11" t="n"/>
      <c r="L83" s="11" t="n"/>
      <c r="M83" s="9" t="inlineStr">
        <is>
          <t>fx_effect_on_cash</t>
        </is>
      </c>
      <c r="N83" s="9" t="inlineStr"/>
    </row>
    <row r="84">
      <c r="A84" s="9" t="n">
        <v>80</v>
      </c>
      <c r="B84" s="9" t="inlineStr">
        <is>
          <t>cash_flow</t>
        </is>
      </c>
      <c r="C84" s="9" t="inlineStr"/>
      <c r="D84" s="9" t="inlineStr">
        <is>
          <t>Effect of exchange rate movements and hyperinflation on cash and cash equivalents</t>
        </is>
      </c>
      <c r="E84" s="9" t="inlineStr">
        <is>
          <t>FY2024</t>
        </is>
      </c>
      <c r="F84" s="9" t="inlineStr">
        <is>
          <t>as_reported</t>
        </is>
      </c>
      <c r="G84" s="10" t="n">
        <v>-515</v>
      </c>
      <c r="H84" s="9" t="inlineStr">
        <is>
          <t>millions</t>
        </is>
      </c>
      <c r="I84" s="9" t="inlineStr">
        <is>
          <t>currency</t>
        </is>
      </c>
      <c r="J84" s="9" t="inlineStr">
        <is>
          <t>ZAR</t>
        </is>
      </c>
      <c r="K84" s="11" t="n"/>
      <c r="L84" s="11" t="n"/>
      <c r="M84" s="9" t="inlineStr">
        <is>
          <t>fx_effect_on_cash</t>
        </is>
      </c>
      <c r="N84" s="9" t="inlineStr">
        <is>
          <t>Cash flow comparative NOT restated</t>
        </is>
      </c>
    </row>
    <row r="85">
      <c r="A85" s="9" t="n">
        <v>81</v>
      </c>
      <c r="B85" s="9" t="inlineStr">
        <is>
          <t>cash_flow</t>
        </is>
      </c>
      <c r="C85" s="9" t="inlineStr"/>
      <c r="D85" s="9" t="inlineStr">
        <is>
          <t>Cash and cash equivalents at the end of the year</t>
        </is>
      </c>
      <c r="E85" s="9" t="inlineStr">
        <is>
          <t>FY2025</t>
        </is>
      </c>
      <c r="F85" s="9" t="inlineStr">
        <is>
          <t>as_reported</t>
        </is>
      </c>
      <c r="G85" s="10" t="n">
        <v>9323</v>
      </c>
      <c r="H85" s="9" t="inlineStr">
        <is>
          <t>millions</t>
        </is>
      </c>
      <c r="I85" s="9" t="inlineStr">
        <is>
          <t>currency</t>
        </is>
      </c>
      <c r="J85" s="9" t="inlineStr">
        <is>
          <t>ZAR</t>
        </is>
      </c>
      <c r="K85" s="11" t="n"/>
      <c r="L85" s="11" t="n"/>
      <c r="M85" s="9" t="inlineStr">
        <is>
          <t>cash_closing</t>
        </is>
      </c>
      <c r="N85" s="9" t="inlineStr">
        <is>
          <t>NOTE: 9 323 not 9 946 - this is net of overdrafts and excludes short-term facilities</t>
        </is>
      </c>
    </row>
    <row r="86">
      <c r="A86" s="9" t="n">
        <v>82</v>
      </c>
      <c r="B86" s="9" t="inlineStr">
        <is>
          <t>cash_flow</t>
        </is>
      </c>
      <c r="C86" s="9" t="inlineStr"/>
      <c r="D86" s="9" t="inlineStr">
        <is>
          <t>Cash and cash equivalents at the end of the year</t>
        </is>
      </c>
      <c r="E86" s="9" t="inlineStr">
        <is>
          <t>FY2024</t>
        </is>
      </c>
      <c r="F86" s="9" t="inlineStr">
        <is>
          <t>as_reported</t>
        </is>
      </c>
      <c r="G86" s="10" t="n">
        <v>10037</v>
      </c>
      <c r="H86" s="9" t="inlineStr">
        <is>
          <t>millions</t>
        </is>
      </c>
      <c r="I86" s="9" t="inlineStr">
        <is>
          <t>currency</t>
        </is>
      </c>
      <c r="J86" s="9" t="inlineStr">
        <is>
          <t>ZAR</t>
        </is>
      </c>
      <c r="K86" s="11" t="n"/>
      <c r="L86" s="11" t="n"/>
      <c r="M86" s="9" t="inlineStr">
        <is>
          <t>cash_closing</t>
        </is>
      </c>
      <c r="N86" s="9" t="inlineStr">
        <is>
          <t>Cash flow comparative NOT restated</t>
        </is>
      </c>
    </row>
  </sheetData>
  <autoFilter ref="A4:N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52" customWidth="1" min="4" max="4"/>
    <col width="9" customWidth="1" min="5" max="5"/>
    <col width="13" customWidth="1" min="6" max="6"/>
    <col width="16" customWidth="1" min="7" max="7"/>
    <col width="11" customWidth="1" min="8" max="8"/>
    <col width="10" customWidth="1" min="9" max="9"/>
    <col width="9" customWidth="1" min="10" max="10"/>
    <col width="8" customWidth="1" min="11" max="11"/>
    <col width="9" customWidth="1" min="12" max="12"/>
    <col width="30" customWidth="1" min="13" max="13"/>
    <col width="44" customWidth="1" min="14" max="14"/>
  </cols>
  <sheetData>
    <row r="1">
      <c r="A1" s="6" t="inlineStr">
        <is>
          <t>M2.8  Headline earnings reconciliation (note 36) - SAICA Circular 1/2023</t>
        </is>
      </c>
    </row>
    <row r="2">
      <c r="A2" s="7" t="inlineStr">
        <is>
          <t>Source: Shoprite Holdings Ltd, Annual Financial Statements 2025 (52 weeks ended 29 June 2025). Values pre-filled from the published statements — VERIFY each against the PDF, then fill 'page' and set 'verified' to Y.</t>
        </is>
      </c>
    </row>
    <row r="4">
      <c r="A4" s="8" t="inlineStr">
        <is>
          <t>row_id</t>
        </is>
      </c>
      <c r="B4" s="8" t="inlineStr">
        <is>
          <t>statement</t>
        </is>
      </c>
      <c r="C4" s="8" t="inlineStr">
        <is>
          <t>note_ref</t>
        </is>
      </c>
      <c r="D4" s="8" t="inlineStr">
        <is>
          <t>as_reported_label</t>
        </is>
      </c>
      <c r="E4" s="8" t="inlineStr">
        <is>
          <t>period</t>
        </is>
      </c>
      <c r="F4" s="8" t="inlineStr">
        <is>
          <t>basis</t>
        </is>
      </c>
      <c r="G4" s="8" t="inlineStr">
        <is>
          <t>value_as_printed</t>
        </is>
      </c>
      <c r="H4" s="8" t="inlineStr">
        <is>
          <t>scale</t>
        </is>
      </c>
      <c r="I4" s="8" t="inlineStr">
        <is>
          <t>unit</t>
        </is>
      </c>
      <c r="J4" s="8" t="inlineStr">
        <is>
          <t>currency</t>
        </is>
      </c>
      <c r="K4" s="8" t="inlineStr">
        <is>
          <t>page</t>
        </is>
      </c>
      <c r="L4" s="8" t="inlineStr">
        <is>
          <t>verified</t>
        </is>
      </c>
      <c r="M4" s="8" t="inlineStr">
        <is>
          <t>concept_suggestion</t>
        </is>
      </c>
      <c r="N4" s="8" t="inlineStr">
        <is>
          <t>notes</t>
        </is>
      </c>
    </row>
    <row r="5">
      <c r="A5" s="9" t="n">
        <v>1</v>
      </c>
      <c r="B5" s="9" t="inlineStr">
        <is>
          <t>heps_reconciliation</t>
        </is>
      </c>
      <c r="C5" s="9" t="inlineStr">
        <is>
          <t>36</t>
        </is>
      </c>
      <c r="D5" s="9" t="inlineStr">
        <is>
          <t>Net profit attributable to owners of the parent [net]</t>
        </is>
      </c>
      <c r="E5" s="9" t="inlineStr">
        <is>
          <t>FY2025</t>
        </is>
      </c>
      <c r="F5" s="9" t="inlineStr">
        <is>
          <t>as_reported</t>
        </is>
      </c>
      <c r="G5" s="10" t="n">
        <v>7585</v>
      </c>
      <c r="H5" s="9" t="inlineStr">
        <is>
          <t>millions</t>
        </is>
      </c>
      <c r="I5" s="9" t="inlineStr">
        <is>
          <t>currency</t>
        </is>
      </c>
      <c r="J5" s="9" t="inlineStr">
        <is>
          <t>ZAR</t>
        </is>
      </c>
      <c r="K5" s="11" t="n"/>
      <c r="L5" s="11" t="n"/>
      <c r="M5" s="9" t="inlineStr">
        <is>
          <t>profit_attributable_owners_net</t>
        </is>
      </c>
      <c r="N5" s="9" t="inlineStr">
        <is>
          <t>Starting point of the reconciliation</t>
        </is>
      </c>
    </row>
    <row r="6">
      <c r="A6" s="9" t="n">
        <v>2</v>
      </c>
      <c r="B6" s="9" t="inlineStr">
        <is>
          <t>heps_reconciliation</t>
        </is>
      </c>
      <c r="C6" s="9" t="inlineStr">
        <is>
          <t>36</t>
        </is>
      </c>
      <c r="D6" s="9" t="inlineStr">
        <is>
          <t>Profit from discontinued operations [net]</t>
        </is>
      </c>
      <c r="E6" s="9" t="inlineStr">
        <is>
          <t>FY2025</t>
        </is>
      </c>
      <c r="F6" s="9" t="inlineStr">
        <is>
          <t>as_reported</t>
        </is>
      </c>
      <c r="G6" s="10" t="n">
        <v>-184</v>
      </c>
      <c r="H6" s="9" t="inlineStr">
        <is>
          <t>millions</t>
        </is>
      </c>
      <c r="I6" s="9" t="inlineStr">
        <is>
          <t>currency</t>
        </is>
      </c>
      <c r="J6" s="9" t="inlineStr">
        <is>
          <t>ZAR</t>
        </is>
      </c>
      <c r="K6" s="11" t="n"/>
      <c r="L6" s="11" t="n"/>
      <c r="M6" s="9" t="inlineStr">
        <is>
          <t>heps_adj_discontinued_net</t>
        </is>
      </c>
      <c r="N6" s="9" t="inlineStr"/>
    </row>
    <row r="7">
      <c r="A7" s="9" t="n">
        <v>3</v>
      </c>
      <c r="B7" s="9" t="inlineStr">
        <is>
          <t>heps_reconciliation</t>
        </is>
      </c>
      <c r="C7" s="9" t="inlineStr">
        <is>
          <t>36</t>
        </is>
      </c>
      <c r="D7" s="9" t="inlineStr">
        <is>
          <t>Earnings from continuing operations [net]</t>
        </is>
      </c>
      <c r="E7" s="9" t="inlineStr">
        <is>
          <t>FY2025</t>
        </is>
      </c>
      <c r="F7" s="9" t="inlineStr">
        <is>
          <t>as_reported</t>
        </is>
      </c>
      <c r="G7" s="10" t="n">
        <v>7401</v>
      </c>
      <c r="H7" s="9" t="inlineStr">
        <is>
          <t>millions</t>
        </is>
      </c>
      <c r="I7" s="9" t="inlineStr">
        <is>
          <t>currency</t>
        </is>
      </c>
      <c r="J7" s="9" t="inlineStr">
        <is>
          <t>ZAR</t>
        </is>
      </c>
      <c r="K7" s="11" t="n"/>
      <c r="L7" s="11" t="n"/>
      <c r="M7" s="9" t="inlineStr">
        <is>
          <t>earnings_continuing_net</t>
        </is>
      </c>
      <c r="N7" s="9" t="inlineStr"/>
    </row>
    <row r="8">
      <c r="A8" s="9" t="n">
        <v>4</v>
      </c>
      <c r="B8" s="9" t="inlineStr">
        <is>
          <t>heps_reconciliation</t>
        </is>
      </c>
      <c r="C8" s="9" t="inlineStr">
        <is>
          <t>36</t>
        </is>
      </c>
      <c r="D8" s="9" t="inlineStr">
        <is>
          <t>Profit on disposal of assets classified as held for sale [gross]</t>
        </is>
      </c>
      <c r="E8" s="9" t="inlineStr">
        <is>
          <t>FY2025</t>
        </is>
      </c>
      <c r="F8" s="9" t="inlineStr">
        <is>
          <t>as_reported</t>
        </is>
      </c>
      <c r="G8" s="10" t="n">
        <v>-45</v>
      </c>
      <c r="H8" s="9" t="inlineStr">
        <is>
          <t>millions</t>
        </is>
      </c>
      <c r="I8" s="9" t="inlineStr">
        <is>
          <t>currency</t>
        </is>
      </c>
      <c r="J8" s="9" t="inlineStr">
        <is>
          <t>ZAR</t>
        </is>
      </c>
      <c r="K8" s="11" t="n"/>
      <c r="L8" s="11" t="n"/>
      <c r="M8" s="9" t="inlineStr">
        <is>
          <t>heps_adj_disposal_held_for_sale_gross</t>
        </is>
      </c>
      <c r="N8" s="9" t="inlineStr"/>
    </row>
    <row r="9">
      <c r="A9" s="9" t="n">
        <v>5</v>
      </c>
      <c r="B9" s="9" t="inlineStr">
        <is>
          <t>heps_reconciliation</t>
        </is>
      </c>
      <c r="C9" s="9" t="inlineStr">
        <is>
          <t>36</t>
        </is>
      </c>
      <c r="D9" s="9" t="inlineStr">
        <is>
          <t>Profit on disposal of assets classified as held for sale [tax effect]</t>
        </is>
      </c>
      <c r="E9" s="9" t="inlineStr">
        <is>
          <t>FY2025</t>
        </is>
      </c>
      <c r="F9" s="9" t="inlineStr">
        <is>
          <t>as_reported</t>
        </is>
      </c>
      <c r="G9" s="10" t="n">
        <v>0</v>
      </c>
      <c r="H9" s="9" t="inlineStr">
        <is>
          <t>millions</t>
        </is>
      </c>
      <c r="I9" s="9" t="inlineStr">
        <is>
          <t>currency</t>
        </is>
      </c>
      <c r="J9" s="9" t="inlineStr">
        <is>
          <t>ZAR</t>
        </is>
      </c>
      <c r="K9" s="11" t="n"/>
      <c r="L9" s="11" t="n"/>
      <c r="M9" s="9" t="inlineStr">
        <is>
          <t>heps_adj_disposal_held_for_sale_tax</t>
        </is>
      </c>
      <c r="N9" s="9" t="inlineStr"/>
    </row>
    <row r="10">
      <c r="A10" s="9" t="n">
        <v>6</v>
      </c>
      <c r="B10" s="9" t="inlineStr">
        <is>
          <t>heps_reconciliation</t>
        </is>
      </c>
      <c r="C10" s="9" t="inlineStr">
        <is>
          <t>36</t>
        </is>
      </c>
      <c r="D10" s="9" t="inlineStr">
        <is>
          <t>Profit on disposal of assets classified as held for sale [net]</t>
        </is>
      </c>
      <c r="E10" s="9" t="inlineStr">
        <is>
          <t>FY2025</t>
        </is>
      </c>
      <c r="F10" s="9" t="inlineStr">
        <is>
          <t>as_reported</t>
        </is>
      </c>
      <c r="G10" s="10" t="n">
        <v>-45</v>
      </c>
      <c r="H10" s="9" t="inlineStr">
        <is>
          <t>millions</t>
        </is>
      </c>
      <c r="I10" s="9" t="inlineStr">
        <is>
          <t>currency</t>
        </is>
      </c>
      <c r="J10" s="9" t="inlineStr">
        <is>
          <t>ZAR</t>
        </is>
      </c>
      <c r="K10" s="11" t="n"/>
      <c r="L10" s="11" t="n"/>
      <c r="M10" s="9" t="inlineStr">
        <is>
          <t>heps_adj_disposal_held_for_sale_net</t>
        </is>
      </c>
      <c r="N10" s="9" t="inlineStr"/>
    </row>
    <row r="11">
      <c r="A11" s="9" t="n">
        <v>7</v>
      </c>
      <c r="B11" s="9" t="inlineStr">
        <is>
          <t>heps_reconciliation</t>
        </is>
      </c>
      <c r="C11" s="9" t="inlineStr">
        <is>
          <t>36</t>
        </is>
      </c>
      <c r="D11" s="9" t="inlineStr">
        <is>
          <t>Profit on sale and leaseback transaction [gross]</t>
        </is>
      </c>
      <c r="E11" s="9" t="inlineStr">
        <is>
          <t>FY2025</t>
        </is>
      </c>
      <c r="F11" s="9" t="inlineStr">
        <is>
          <t>as_reported</t>
        </is>
      </c>
      <c r="G11" s="10" t="n">
        <v>-33</v>
      </c>
      <c r="H11" s="9" t="inlineStr">
        <is>
          <t>millions</t>
        </is>
      </c>
      <c r="I11" s="9" t="inlineStr">
        <is>
          <t>currency</t>
        </is>
      </c>
      <c r="J11" s="9" t="inlineStr">
        <is>
          <t>ZAR</t>
        </is>
      </c>
      <c r="K11" s="11" t="n"/>
      <c r="L11" s="11" t="n"/>
      <c r="M11" s="9" t="inlineStr">
        <is>
          <t>heps_adj_sale_leaseback_gross</t>
        </is>
      </c>
      <c r="N11" s="9" t="inlineStr"/>
    </row>
    <row r="12">
      <c r="A12" s="9" t="n">
        <v>8</v>
      </c>
      <c r="B12" s="9" t="inlineStr">
        <is>
          <t>heps_reconciliation</t>
        </is>
      </c>
      <c r="C12" s="9" t="inlineStr">
        <is>
          <t>36</t>
        </is>
      </c>
      <c r="D12" s="9" t="inlineStr">
        <is>
          <t>Profit on sale and leaseback transaction [tax effect]</t>
        </is>
      </c>
      <c r="E12" s="9" t="inlineStr">
        <is>
          <t>FY2025</t>
        </is>
      </c>
      <c r="F12" s="9" t="inlineStr">
        <is>
          <t>as_reported</t>
        </is>
      </c>
      <c r="G12" s="10" t="n">
        <v>7</v>
      </c>
      <c r="H12" s="9" t="inlineStr">
        <is>
          <t>millions</t>
        </is>
      </c>
      <c r="I12" s="9" t="inlineStr">
        <is>
          <t>currency</t>
        </is>
      </c>
      <c r="J12" s="9" t="inlineStr">
        <is>
          <t>ZAR</t>
        </is>
      </c>
      <c r="K12" s="11" t="n"/>
      <c r="L12" s="11" t="n"/>
      <c r="M12" s="9" t="inlineStr">
        <is>
          <t>heps_adj_sale_leaseback_tax</t>
        </is>
      </c>
      <c r="N12" s="9" t="inlineStr"/>
    </row>
    <row r="13">
      <c r="A13" s="9" t="n">
        <v>9</v>
      </c>
      <c r="B13" s="9" t="inlineStr">
        <is>
          <t>heps_reconciliation</t>
        </is>
      </c>
      <c r="C13" s="9" t="inlineStr">
        <is>
          <t>36</t>
        </is>
      </c>
      <c r="D13" s="9" t="inlineStr">
        <is>
          <t>Profit on sale and leaseback transaction [net]</t>
        </is>
      </c>
      <c r="E13" s="9" t="inlineStr">
        <is>
          <t>FY2025</t>
        </is>
      </c>
      <c r="F13" s="9" t="inlineStr">
        <is>
          <t>as_reported</t>
        </is>
      </c>
      <c r="G13" s="10" t="n">
        <v>-26</v>
      </c>
      <c r="H13" s="9" t="inlineStr">
        <is>
          <t>millions</t>
        </is>
      </c>
      <c r="I13" s="9" t="inlineStr">
        <is>
          <t>currency</t>
        </is>
      </c>
      <c r="J13" s="9" t="inlineStr">
        <is>
          <t>ZAR</t>
        </is>
      </c>
      <c r="K13" s="11" t="n"/>
      <c r="L13" s="11" t="n"/>
      <c r="M13" s="9" t="inlineStr">
        <is>
          <t>heps_adj_sale_leaseback_net</t>
        </is>
      </c>
      <c r="N13" s="9" t="inlineStr"/>
    </row>
    <row r="14">
      <c r="A14" s="9" t="n">
        <v>10</v>
      </c>
      <c r="B14" s="9" t="inlineStr">
        <is>
          <t>heps_reconciliation</t>
        </is>
      </c>
      <c r="C14" s="9" t="inlineStr">
        <is>
          <t>36</t>
        </is>
      </c>
      <c r="D14" s="9" t="inlineStr">
        <is>
          <t>Loss on disposal and scrapping of property, plant and equipment and intangible assets [gross]</t>
        </is>
      </c>
      <c r="E14" s="9" t="inlineStr">
        <is>
          <t>FY2025</t>
        </is>
      </c>
      <c r="F14" s="9" t="inlineStr">
        <is>
          <t>as_reported</t>
        </is>
      </c>
      <c r="G14" s="10" t="n">
        <v>162</v>
      </c>
      <c r="H14" s="9" t="inlineStr">
        <is>
          <t>millions</t>
        </is>
      </c>
      <c r="I14" s="9" t="inlineStr">
        <is>
          <t>currency</t>
        </is>
      </c>
      <c r="J14" s="9" t="inlineStr">
        <is>
          <t>ZAR</t>
        </is>
      </c>
      <c r="K14" s="11" t="n"/>
      <c r="L14" s="11" t="n"/>
      <c r="M14" s="9" t="inlineStr">
        <is>
          <t>heps_adj_disposal_ppe_gross</t>
        </is>
      </c>
      <c r="N14" s="9" t="inlineStr"/>
    </row>
    <row r="15">
      <c r="A15" s="9" t="n">
        <v>11</v>
      </c>
      <c r="B15" s="9" t="inlineStr">
        <is>
          <t>heps_reconciliation</t>
        </is>
      </c>
      <c r="C15" s="9" t="inlineStr">
        <is>
          <t>36</t>
        </is>
      </c>
      <c r="D15" s="9" t="inlineStr">
        <is>
          <t>Loss on disposal and scrapping of property, plant and equipment and intangible assets [tax effect]</t>
        </is>
      </c>
      <c r="E15" s="9" t="inlineStr">
        <is>
          <t>FY2025</t>
        </is>
      </c>
      <c r="F15" s="9" t="inlineStr">
        <is>
          <t>as_reported</t>
        </is>
      </c>
      <c r="G15" s="10" t="n">
        <v>-32</v>
      </c>
      <c r="H15" s="9" t="inlineStr">
        <is>
          <t>millions</t>
        </is>
      </c>
      <c r="I15" s="9" t="inlineStr">
        <is>
          <t>currency</t>
        </is>
      </c>
      <c r="J15" s="9" t="inlineStr">
        <is>
          <t>ZAR</t>
        </is>
      </c>
      <c r="K15" s="11" t="n"/>
      <c r="L15" s="11" t="n"/>
      <c r="M15" s="9" t="inlineStr">
        <is>
          <t>heps_adj_disposal_ppe_tax</t>
        </is>
      </c>
      <c r="N15" s="9" t="inlineStr"/>
    </row>
    <row r="16">
      <c r="A16" s="9" t="n">
        <v>12</v>
      </c>
      <c r="B16" s="9" t="inlineStr">
        <is>
          <t>heps_reconciliation</t>
        </is>
      </c>
      <c r="C16" s="9" t="inlineStr">
        <is>
          <t>36</t>
        </is>
      </c>
      <c r="D16" s="9" t="inlineStr">
        <is>
          <t>Loss on disposal and scrapping of property, plant and equipment and intangible assets [net]</t>
        </is>
      </c>
      <c r="E16" s="9" t="inlineStr">
        <is>
          <t>FY2025</t>
        </is>
      </c>
      <c r="F16" s="9" t="inlineStr">
        <is>
          <t>as_reported</t>
        </is>
      </c>
      <c r="G16" s="10" t="n">
        <v>130</v>
      </c>
      <c r="H16" s="9" t="inlineStr">
        <is>
          <t>millions</t>
        </is>
      </c>
      <c r="I16" s="9" t="inlineStr">
        <is>
          <t>currency</t>
        </is>
      </c>
      <c r="J16" s="9" t="inlineStr">
        <is>
          <t>ZAR</t>
        </is>
      </c>
      <c r="K16" s="11" t="n"/>
      <c r="L16" s="11" t="n"/>
      <c r="M16" s="9" t="inlineStr">
        <is>
          <t>heps_adj_disposal_ppe_net</t>
        </is>
      </c>
      <c r="N16" s="9" t="inlineStr"/>
    </row>
    <row r="17">
      <c r="A17" s="9" t="n">
        <v>13</v>
      </c>
      <c r="B17" s="9" t="inlineStr">
        <is>
          <t>heps_reconciliation</t>
        </is>
      </c>
      <c r="C17" s="9" t="inlineStr">
        <is>
          <t>36</t>
        </is>
      </c>
      <c r="D17" s="9" t="inlineStr">
        <is>
          <t>Reversal of impairment of property, plant and equipment [gross]</t>
        </is>
      </c>
      <c r="E17" s="9" t="inlineStr">
        <is>
          <t>FY2025</t>
        </is>
      </c>
      <c r="F17" s="9" t="inlineStr">
        <is>
          <t>as_reported</t>
        </is>
      </c>
      <c r="G17" s="10" t="n">
        <v>-22</v>
      </c>
      <c r="H17" s="9" t="inlineStr">
        <is>
          <t>millions</t>
        </is>
      </c>
      <c r="I17" s="9" t="inlineStr">
        <is>
          <t>currency</t>
        </is>
      </c>
      <c r="J17" s="9" t="inlineStr">
        <is>
          <t>ZAR</t>
        </is>
      </c>
      <c r="K17" s="11" t="n"/>
      <c r="L17" s="11" t="n"/>
      <c r="M17" s="9" t="inlineStr">
        <is>
          <t>heps_adj_impairment_ppe_gross</t>
        </is>
      </c>
      <c r="N17" s="9" t="inlineStr"/>
    </row>
    <row r="18">
      <c r="A18" s="9" t="n">
        <v>14</v>
      </c>
      <c r="B18" s="9" t="inlineStr">
        <is>
          <t>heps_reconciliation</t>
        </is>
      </c>
      <c r="C18" s="9" t="inlineStr">
        <is>
          <t>36</t>
        </is>
      </c>
      <c r="D18" s="9" t="inlineStr">
        <is>
          <t>Reversal of impairment of property, plant and equipment [tax effect]</t>
        </is>
      </c>
      <c r="E18" s="9" t="inlineStr">
        <is>
          <t>FY2025</t>
        </is>
      </c>
      <c r="F18" s="9" t="inlineStr">
        <is>
          <t>as_reported</t>
        </is>
      </c>
      <c r="G18" s="10" t="n">
        <v>-6</v>
      </c>
      <c r="H18" s="9" t="inlineStr">
        <is>
          <t>millions</t>
        </is>
      </c>
      <c r="I18" s="9" t="inlineStr">
        <is>
          <t>currency</t>
        </is>
      </c>
      <c r="J18" s="9" t="inlineStr">
        <is>
          <t>ZAR</t>
        </is>
      </c>
      <c r="K18" s="11" t="n"/>
      <c r="L18" s="11" t="n"/>
      <c r="M18" s="9" t="inlineStr">
        <is>
          <t>heps_adj_impairment_ppe_tax</t>
        </is>
      </c>
      <c r="N18" s="9" t="inlineStr"/>
    </row>
    <row r="19">
      <c r="A19" s="9" t="n">
        <v>15</v>
      </c>
      <c r="B19" s="9" t="inlineStr">
        <is>
          <t>heps_reconciliation</t>
        </is>
      </c>
      <c r="C19" s="9" t="inlineStr">
        <is>
          <t>36</t>
        </is>
      </c>
      <c r="D19" s="9" t="inlineStr">
        <is>
          <t>Reversal of impairment of property, plant and equipment [net]</t>
        </is>
      </c>
      <c r="E19" s="9" t="inlineStr">
        <is>
          <t>FY2025</t>
        </is>
      </c>
      <c r="F19" s="9" t="inlineStr">
        <is>
          <t>as_reported</t>
        </is>
      </c>
      <c r="G19" s="10" t="n">
        <v>-28</v>
      </c>
      <c r="H19" s="9" t="inlineStr">
        <is>
          <t>millions</t>
        </is>
      </c>
      <c r="I19" s="9" t="inlineStr">
        <is>
          <t>currency</t>
        </is>
      </c>
      <c r="J19" s="9" t="inlineStr">
        <is>
          <t>ZAR</t>
        </is>
      </c>
      <c r="K19" s="11" t="n"/>
      <c r="L19" s="11" t="n"/>
      <c r="M19" s="9" t="inlineStr">
        <is>
          <t>heps_adj_impairment_ppe_net</t>
        </is>
      </c>
      <c r="N19" s="9" t="inlineStr"/>
    </row>
    <row r="20">
      <c r="A20" s="9" t="n">
        <v>16</v>
      </c>
      <c r="B20" s="9" t="inlineStr">
        <is>
          <t>heps_reconciliation</t>
        </is>
      </c>
      <c r="C20" s="9" t="inlineStr">
        <is>
          <t>36</t>
        </is>
      </c>
      <c r="D20" s="9" t="inlineStr">
        <is>
          <t>Impairment of investment properties [gross]</t>
        </is>
      </c>
      <c r="E20" s="9" t="inlineStr">
        <is>
          <t>FY2025</t>
        </is>
      </c>
      <c r="F20" s="9" t="inlineStr">
        <is>
          <t>as_reported</t>
        </is>
      </c>
      <c r="G20" s="10" t="n">
        <v>203</v>
      </c>
      <c r="H20" s="9" t="inlineStr">
        <is>
          <t>millions</t>
        </is>
      </c>
      <c r="I20" s="9" t="inlineStr">
        <is>
          <t>currency</t>
        </is>
      </c>
      <c r="J20" s="9" t="inlineStr">
        <is>
          <t>ZAR</t>
        </is>
      </c>
      <c r="K20" s="11" t="n"/>
      <c r="L20" s="11" t="n"/>
      <c r="M20" s="9" t="inlineStr">
        <is>
          <t>heps_adj_impairment_inv_prop_gross</t>
        </is>
      </c>
      <c r="N20" s="9" t="inlineStr"/>
    </row>
    <row r="21">
      <c r="A21" s="9" t="n">
        <v>17</v>
      </c>
      <c r="B21" s="9" t="inlineStr">
        <is>
          <t>heps_reconciliation</t>
        </is>
      </c>
      <c r="C21" s="9" t="inlineStr">
        <is>
          <t>36</t>
        </is>
      </c>
      <c r="D21" s="9" t="inlineStr">
        <is>
          <t>Impairment of investment properties [tax effect]</t>
        </is>
      </c>
      <c r="E21" s="9" t="inlineStr">
        <is>
          <t>FY2025</t>
        </is>
      </c>
      <c r="F21" s="9" t="inlineStr">
        <is>
          <t>as_reported</t>
        </is>
      </c>
      <c r="G21" s="10" t="n">
        <v>0</v>
      </c>
      <c r="H21" s="9" t="inlineStr">
        <is>
          <t>millions</t>
        </is>
      </c>
      <c r="I21" s="9" t="inlineStr">
        <is>
          <t>currency</t>
        </is>
      </c>
      <c r="J21" s="9" t="inlineStr">
        <is>
          <t>ZAR</t>
        </is>
      </c>
      <c r="K21" s="11" t="n"/>
      <c r="L21" s="11" t="n"/>
      <c r="M21" s="9" t="inlineStr">
        <is>
          <t>heps_adj_impairment_inv_prop_tax</t>
        </is>
      </c>
      <c r="N21" s="9" t="inlineStr"/>
    </row>
    <row r="22">
      <c r="A22" s="9" t="n">
        <v>18</v>
      </c>
      <c r="B22" s="9" t="inlineStr">
        <is>
          <t>heps_reconciliation</t>
        </is>
      </c>
      <c r="C22" s="9" t="inlineStr">
        <is>
          <t>36</t>
        </is>
      </c>
      <c r="D22" s="9" t="inlineStr">
        <is>
          <t>Impairment of investment properties [net]</t>
        </is>
      </c>
      <c r="E22" s="9" t="inlineStr">
        <is>
          <t>FY2025</t>
        </is>
      </c>
      <c r="F22" s="9" t="inlineStr">
        <is>
          <t>as_reported</t>
        </is>
      </c>
      <c r="G22" s="10" t="n">
        <v>203</v>
      </c>
      <c r="H22" s="9" t="inlineStr">
        <is>
          <t>millions</t>
        </is>
      </c>
      <c r="I22" s="9" t="inlineStr">
        <is>
          <t>currency</t>
        </is>
      </c>
      <c r="J22" s="9" t="inlineStr">
        <is>
          <t>ZAR</t>
        </is>
      </c>
      <c r="K22" s="11" t="n"/>
      <c r="L22" s="11" t="n"/>
      <c r="M22" s="9" t="inlineStr">
        <is>
          <t>heps_adj_impairment_inv_prop_net</t>
        </is>
      </c>
      <c r="N22" s="9" t="inlineStr"/>
    </row>
    <row r="23">
      <c r="A23" s="9" t="n">
        <v>19</v>
      </c>
      <c r="B23" s="9" t="inlineStr">
        <is>
          <t>heps_reconciliation</t>
        </is>
      </c>
      <c r="C23" s="9" t="inlineStr">
        <is>
          <t>36</t>
        </is>
      </c>
      <c r="D23" s="9" t="inlineStr">
        <is>
          <t>Impairment of right-of-use assets [gross]</t>
        </is>
      </c>
      <c r="E23" s="9" t="inlineStr">
        <is>
          <t>FY2025</t>
        </is>
      </c>
      <c r="F23" s="9" t="inlineStr">
        <is>
          <t>as_reported</t>
        </is>
      </c>
      <c r="G23" s="10" t="n">
        <v>112</v>
      </c>
      <c r="H23" s="9" t="inlineStr">
        <is>
          <t>millions</t>
        </is>
      </c>
      <c r="I23" s="9" t="inlineStr">
        <is>
          <t>currency</t>
        </is>
      </c>
      <c r="J23" s="9" t="inlineStr">
        <is>
          <t>ZAR</t>
        </is>
      </c>
      <c r="K23" s="11" t="n"/>
      <c r="L23" s="11" t="n"/>
      <c r="M23" s="9" t="inlineStr">
        <is>
          <t>heps_adj_impairment_rou_gross</t>
        </is>
      </c>
      <c r="N23" s="9" t="inlineStr"/>
    </row>
    <row r="24">
      <c r="A24" s="9" t="n">
        <v>20</v>
      </c>
      <c r="B24" s="9" t="inlineStr">
        <is>
          <t>heps_reconciliation</t>
        </is>
      </c>
      <c r="C24" s="9" t="inlineStr">
        <is>
          <t>36</t>
        </is>
      </c>
      <c r="D24" s="9" t="inlineStr">
        <is>
          <t>Impairment of right-of-use assets [tax effect]</t>
        </is>
      </c>
      <c r="E24" s="9" t="inlineStr">
        <is>
          <t>FY2025</t>
        </is>
      </c>
      <c r="F24" s="9" t="inlineStr">
        <is>
          <t>as_reported</t>
        </is>
      </c>
      <c r="G24" s="10" t="n">
        <v>-35</v>
      </c>
      <c r="H24" s="9" t="inlineStr">
        <is>
          <t>millions</t>
        </is>
      </c>
      <c r="I24" s="9" t="inlineStr">
        <is>
          <t>currency</t>
        </is>
      </c>
      <c r="J24" s="9" t="inlineStr">
        <is>
          <t>ZAR</t>
        </is>
      </c>
      <c r="K24" s="11" t="n"/>
      <c r="L24" s="11" t="n"/>
      <c r="M24" s="9" t="inlineStr">
        <is>
          <t>heps_adj_impairment_rou_tax</t>
        </is>
      </c>
      <c r="N24" s="9" t="inlineStr"/>
    </row>
    <row r="25">
      <c r="A25" s="9" t="n">
        <v>21</v>
      </c>
      <c r="B25" s="9" t="inlineStr">
        <is>
          <t>heps_reconciliation</t>
        </is>
      </c>
      <c r="C25" s="9" t="inlineStr">
        <is>
          <t>36</t>
        </is>
      </c>
      <c r="D25" s="9" t="inlineStr">
        <is>
          <t>Impairment of right-of-use assets [net]</t>
        </is>
      </c>
      <c r="E25" s="9" t="inlineStr">
        <is>
          <t>FY2025</t>
        </is>
      </c>
      <c r="F25" s="9" t="inlineStr">
        <is>
          <t>as_reported</t>
        </is>
      </c>
      <c r="G25" s="10" t="n">
        <v>77</v>
      </c>
      <c r="H25" s="9" t="inlineStr">
        <is>
          <t>millions</t>
        </is>
      </c>
      <c r="I25" s="9" t="inlineStr">
        <is>
          <t>currency</t>
        </is>
      </c>
      <c r="J25" s="9" t="inlineStr">
        <is>
          <t>ZAR</t>
        </is>
      </c>
      <c r="K25" s="11" t="n"/>
      <c r="L25" s="11" t="n"/>
      <c r="M25" s="9" t="inlineStr">
        <is>
          <t>heps_adj_impairment_rou_net</t>
        </is>
      </c>
      <c r="N25" s="9" t="inlineStr"/>
    </row>
    <row r="26">
      <c r="A26" s="9" t="n">
        <v>22</v>
      </c>
      <c r="B26" s="9" t="inlineStr">
        <is>
          <t>heps_reconciliation</t>
        </is>
      </c>
      <c r="C26" s="9" t="inlineStr">
        <is>
          <t>36</t>
        </is>
      </c>
      <c r="D26" s="9" t="inlineStr">
        <is>
          <t>Impairment of intangible assets [gross]</t>
        </is>
      </c>
      <c r="E26" s="9" t="inlineStr">
        <is>
          <t>FY2025</t>
        </is>
      </c>
      <c r="F26" s="9" t="inlineStr">
        <is>
          <t>as_reported</t>
        </is>
      </c>
      <c r="G26" s="10" t="n">
        <v>97</v>
      </c>
      <c r="H26" s="9" t="inlineStr">
        <is>
          <t>millions</t>
        </is>
      </c>
      <c r="I26" s="9" t="inlineStr">
        <is>
          <t>currency</t>
        </is>
      </c>
      <c r="J26" s="9" t="inlineStr">
        <is>
          <t>ZAR</t>
        </is>
      </c>
      <c r="K26" s="11" t="n"/>
      <c r="L26" s="11" t="n"/>
      <c r="M26" s="9" t="inlineStr">
        <is>
          <t>heps_adj_impairment_intangibles_gross</t>
        </is>
      </c>
      <c r="N26" s="9" t="inlineStr"/>
    </row>
    <row r="27">
      <c r="A27" s="9" t="n">
        <v>23</v>
      </c>
      <c r="B27" s="9" t="inlineStr">
        <is>
          <t>heps_reconciliation</t>
        </is>
      </c>
      <c r="C27" s="9" t="inlineStr">
        <is>
          <t>36</t>
        </is>
      </c>
      <c r="D27" s="9" t="inlineStr">
        <is>
          <t>Impairment of intangible assets [tax effect]</t>
        </is>
      </c>
      <c r="E27" s="9" t="inlineStr">
        <is>
          <t>FY2025</t>
        </is>
      </c>
      <c r="F27" s="9" t="inlineStr">
        <is>
          <t>as_reported</t>
        </is>
      </c>
      <c r="G27" s="10" t="n">
        <v>-13</v>
      </c>
      <c r="H27" s="9" t="inlineStr">
        <is>
          <t>millions</t>
        </is>
      </c>
      <c r="I27" s="9" t="inlineStr">
        <is>
          <t>currency</t>
        </is>
      </c>
      <c r="J27" s="9" t="inlineStr">
        <is>
          <t>ZAR</t>
        </is>
      </c>
      <c r="K27" s="11" t="n"/>
      <c r="L27" s="11" t="n"/>
      <c r="M27" s="9" t="inlineStr">
        <is>
          <t>heps_adj_impairment_intangibles_tax</t>
        </is>
      </c>
      <c r="N27" s="9" t="inlineStr"/>
    </row>
    <row r="28">
      <c r="A28" s="9" t="n">
        <v>24</v>
      </c>
      <c r="B28" s="9" t="inlineStr">
        <is>
          <t>heps_reconciliation</t>
        </is>
      </c>
      <c r="C28" s="9" t="inlineStr">
        <is>
          <t>36</t>
        </is>
      </c>
      <c r="D28" s="9" t="inlineStr">
        <is>
          <t>Impairment of intangible assets [net]</t>
        </is>
      </c>
      <c r="E28" s="9" t="inlineStr">
        <is>
          <t>FY2025</t>
        </is>
      </c>
      <c r="F28" s="9" t="inlineStr">
        <is>
          <t>as_reported</t>
        </is>
      </c>
      <c r="G28" s="10" t="n">
        <v>84</v>
      </c>
      <c r="H28" s="9" t="inlineStr">
        <is>
          <t>millions</t>
        </is>
      </c>
      <c r="I28" s="9" t="inlineStr">
        <is>
          <t>currency</t>
        </is>
      </c>
      <c r="J28" s="9" t="inlineStr">
        <is>
          <t>ZAR</t>
        </is>
      </c>
      <c r="K28" s="11" t="n"/>
      <c r="L28" s="11" t="n"/>
      <c r="M28" s="9" t="inlineStr">
        <is>
          <t>heps_adj_impairment_intangibles_net</t>
        </is>
      </c>
      <c r="N28" s="9" t="inlineStr"/>
    </row>
    <row r="29">
      <c r="A29" s="9" t="n">
        <v>25</v>
      </c>
      <c r="B29" s="9" t="inlineStr">
        <is>
          <t>heps_reconciliation</t>
        </is>
      </c>
      <c r="C29" s="9" t="inlineStr">
        <is>
          <t>36</t>
        </is>
      </c>
      <c r="D29" s="9" t="inlineStr">
        <is>
          <t>Insurance claims receivable [gross]</t>
        </is>
      </c>
      <c r="E29" s="9" t="inlineStr">
        <is>
          <t>FY2025</t>
        </is>
      </c>
      <c r="F29" s="9" t="inlineStr">
        <is>
          <t>as_reported</t>
        </is>
      </c>
      <c r="G29" s="10" t="n">
        <v>-39</v>
      </c>
      <c r="H29" s="9" t="inlineStr">
        <is>
          <t>millions</t>
        </is>
      </c>
      <c r="I29" s="9" t="inlineStr">
        <is>
          <t>currency</t>
        </is>
      </c>
      <c r="J29" s="9" t="inlineStr">
        <is>
          <t>ZAR</t>
        </is>
      </c>
      <c r="K29" s="11" t="n"/>
      <c r="L29" s="11" t="n"/>
      <c r="M29" s="9" t="inlineStr">
        <is>
          <t>heps_adj_insurance_claims_gross</t>
        </is>
      </c>
      <c r="N29" s="9" t="inlineStr"/>
    </row>
    <row r="30">
      <c r="A30" s="9" t="n">
        <v>26</v>
      </c>
      <c r="B30" s="9" t="inlineStr">
        <is>
          <t>heps_reconciliation</t>
        </is>
      </c>
      <c r="C30" s="9" t="inlineStr">
        <is>
          <t>36</t>
        </is>
      </c>
      <c r="D30" s="9" t="inlineStr">
        <is>
          <t>Insurance claims receivable [tax effect]</t>
        </is>
      </c>
      <c r="E30" s="9" t="inlineStr">
        <is>
          <t>FY2025</t>
        </is>
      </c>
      <c r="F30" s="9" t="inlineStr">
        <is>
          <t>as_reported</t>
        </is>
      </c>
      <c r="G30" s="10" t="n">
        <v>9</v>
      </c>
      <c r="H30" s="9" t="inlineStr">
        <is>
          <t>millions</t>
        </is>
      </c>
      <c r="I30" s="9" t="inlineStr">
        <is>
          <t>currency</t>
        </is>
      </c>
      <c r="J30" s="9" t="inlineStr">
        <is>
          <t>ZAR</t>
        </is>
      </c>
      <c r="K30" s="11" t="n"/>
      <c r="L30" s="11" t="n"/>
      <c r="M30" s="9" t="inlineStr">
        <is>
          <t>heps_adj_insurance_claims_tax</t>
        </is>
      </c>
      <c r="N30" s="9" t="inlineStr"/>
    </row>
    <row r="31">
      <c r="A31" s="9" t="n">
        <v>27</v>
      </c>
      <c r="B31" s="9" t="inlineStr">
        <is>
          <t>heps_reconciliation</t>
        </is>
      </c>
      <c r="C31" s="9" t="inlineStr">
        <is>
          <t>36</t>
        </is>
      </c>
      <c r="D31" s="9" t="inlineStr">
        <is>
          <t>Insurance claims receivable [net]</t>
        </is>
      </c>
      <c r="E31" s="9" t="inlineStr">
        <is>
          <t>FY2025</t>
        </is>
      </c>
      <c r="F31" s="9" t="inlineStr">
        <is>
          <t>as_reported</t>
        </is>
      </c>
      <c r="G31" s="10" t="n">
        <v>-30</v>
      </c>
      <c r="H31" s="9" t="inlineStr">
        <is>
          <t>millions</t>
        </is>
      </c>
      <c r="I31" s="9" t="inlineStr">
        <is>
          <t>currency</t>
        </is>
      </c>
      <c r="J31" s="9" t="inlineStr">
        <is>
          <t>ZAR</t>
        </is>
      </c>
      <c r="K31" s="11" t="n"/>
      <c r="L31" s="11" t="n"/>
      <c r="M31" s="9" t="inlineStr">
        <is>
          <t>heps_adj_insurance_claims_net</t>
        </is>
      </c>
      <c r="N31" s="9" t="inlineStr"/>
    </row>
    <row r="32">
      <c r="A32" s="9" t="n">
        <v>28</v>
      </c>
      <c r="B32" s="9" t="inlineStr">
        <is>
          <t>heps_reconciliation</t>
        </is>
      </c>
      <c r="C32" s="9" t="inlineStr">
        <is>
          <t>36</t>
        </is>
      </c>
      <c r="D32" s="9" t="inlineStr">
        <is>
          <t>Remeasurement of investment in joint venture to fair value on deemed disposal of Pingo Delivery (Pty) Ltd [gross]</t>
        </is>
      </c>
      <c r="E32" s="9" t="inlineStr">
        <is>
          <t>FY2025</t>
        </is>
      </c>
      <c r="F32" s="9" t="inlineStr">
        <is>
          <t>as_reported</t>
        </is>
      </c>
      <c r="G32" s="10" t="n">
        <v>-341</v>
      </c>
      <c r="H32" s="9" t="inlineStr">
        <is>
          <t>millions</t>
        </is>
      </c>
      <c r="I32" s="9" t="inlineStr">
        <is>
          <t>currency</t>
        </is>
      </c>
      <c r="J32" s="9" t="inlineStr">
        <is>
          <t>ZAR</t>
        </is>
      </c>
      <c r="K32" s="11" t="n"/>
      <c r="L32" s="11" t="n"/>
      <c r="M32" s="9" t="inlineStr">
        <is>
          <t>heps_adj_jv_remeasurement_gross</t>
        </is>
      </c>
      <c r="N32" s="9" t="inlineStr">
        <is>
          <t>Largest single adjustment this year</t>
        </is>
      </c>
    </row>
    <row r="33">
      <c r="A33" s="9" t="n">
        <v>29</v>
      </c>
      <c r="B33" s="9" t="inlineStr">
        <is>
          <t>heps_reconciliation</t>
        </is>
      </c>
      <c r="C33" s="9" t="inlineStr">
        <is>
          <t>36</t>
        </is>
      </c>
      <c r="D33" s="9" t="inlineStr">
        <is>
          <t>Remeasurement of investment in joint venture to fair value on deemed disposal of Pingo Delivery (Pty) Ltd [tax effect]</t>
        </is>
      </c>
      <c r="E33" s="9" t="inlineStr">
        <is>
          <t>FY2025</t>
        </is>
      </c>
      <c r="F33" s="9" t="inlineStr">
        <is>
          <t>as_reported</t>
        </is>
      </c>
      <c r="G33" s="10" t="n">
        <v>0</v>
      </c>
      <c r="H33" s="9" t="inlineStr">
        <is>
          <t>millions</t>
        </is>
      </c>
      <c r="I33" s="9" t="inlineStr">
        <is>
          <t>currency</t>
        </is>
      </c>
      <c r="J33" s="9" t="inlineStr">
        <is>
          <t>ZAR</t>
        </is>
      </c>
      <c r="K33" s="11" t="n"/>
      <c r="L33" s="11" t="n"/>
      <c r="M33" s="9" t="inlineStr">
        <is>
          <t>heps_adj_jv_remeasurement_tax</t>
        </is>
      </c>
      <c r="N33" s="9" t="inlineStr"/>
    </row>
    <row r="34">
      <c r="A34" s="9" t="n">
        <v>30</v>
      </c>
      <c r="B34" s="9" t="inlineStr">
        <is>
          <t>heps_reconciliation</t>
        </is>
      </c>
      <c r="C34" s="9" t="inlineStr">
        <is>
          <t>36</t>
        </is>
      </c>
      <c r="D34" s="9" t="inlineStr">
        <is>
          <t>Remeasurement of investment in joint venture to fair value on deemed disposal of Pingo Delivery (Pty) Ltd [net]</t>
        </is>
      </c>
      <c r="E34" s="9" t="inlineStr">
        <is>
          <t>FY2025</t>
        </is>
      </c>
      <c r="F34" s="9" t="inlineStr">
        <is>
          <t>as_reported</t>
        </is>
      </c>
      <c r="G34" s="10" t="n">
        <v>-341</v>
      </c>
      <c r="H34" s="9" t="inlineStr">
        <is>
          <t>millions</t>
        </is>
      </c>
      <c r="I34" s="9" t="inlineStr">
        <is>
          <t>currency</t>
        </is>
      </c>
      <c r="J34" s="9" t="inlineStr">
        <is>
          <t>ZAR</t>
        </is>
      </c>
      <c r="K34" s="11" t="n"/>
      <c r="L34" s="11" t="n"/>
      <c r="M34" s="9" t="inlineStr">
        <is>
          <t>heps_adj_jv_remeasurement_net</t>
        </is>
      </c>
      <c r="N34" s="9" t="inlineStr"/>
    </row>
    <row r="35">
      <c r="A35" s="9" t="n">
        <v>31</v>
      </c>
      <c r="B35" s="9" t="inlineStr">
        <is>
          <t>heps_reconciliation</t>
        </is>
      </c>
      <c r="C35" s="9" t="inlineStr">
        <is>
          <t>36</t>
        </is>
      </c>
      <c r="D35" s="9" t="inlineStr">
        <is>
          <t>Loss on other investing activities [gross]</t>
        </is>
      </c>
      <c r="E35" s="9" t="inlineStr">
        <is>
          <t>FY2025</t>
        </is>
      </c>
      <c r="F35" s="9" t="inlineStr">
        <is>
          <t>as_reported</t>
        </is>
      </c>
      <c r="G35" s="10" t="n">
        <v>6</v>
      </c>
      <c r="H35" s="9" t="inlineStr">
        <is>
          <t>millions</t>
        </is>
      </c>
      <c r="I35" s="9" t="inlineStr">
        <is>
          <t>currency</t>
        </is>
      </c>
      <c r="J35" s="9" t="inlineStr">
        <is>
          <t>ZAR</t>
        </is>
      </c>
      <c r="K35" s="11" t="n"/>
      <c r="L35" s="11" t="n"/>
      <c r="M35" s="9" t="inlineStr">
        <is>
          <t>heps_adj_other_investing_gross</t>
        </is>
      </c>
      <c r="N35" s="9" t="inlineStr"/>
    </row>
    <row r="36">
      <c r="A36" s="9" t="n">
        <v>32</v>
      </c>
      <c r="B36" s="9" t="inlineStr">
        <is>
          <t>heps_reconciliation</t>
        </is>
      </c>
      <c r="C36" s="9" t="inlineStr">
        <is>
          <t>36</t>
        </is>
      </c>
      <c r="D36" s="9" t="inlineStr">
        <is>
          <t>Loss on other investing activities [tax effect]</t>
        </is>
      </c>
      <c r="E36" s="9" t="inlineStr">
        <is>
          <t>FY2025</t>
        </is>
      </c>
      <c r="F36" s="9" t="inlineStr">
        <is>
          <t>as_reported</t>
        </is>
      </c>
      <c r="G36" s="10" t="n">
        <v>0</v>
      </c>
      <c r="H36" s="9" t="inlineStr">
        <is>
          <t>millions</t>
        </is>
      </c>
      <c r="I36" s="9" t="inlineStr">
        <is>
          <t>currency</t>
        </is>
      </c>
      <c r="J36" s="9" t="inlineStr">
        <is>
          <t>ZAR</t>
        </is>
      </c>
      <c r="K36" s="11" t="n"/>
      <c r="L36" s="11" t="n"/>
      <c r="M36" s="9" t="inlineStr">
        <is>
          <t>heps_adj_other_investing_tax</t>
        </is>
      </c>
      <c r="N36" s="9" t="inlineStr"/>
    </row>
    <row r="37">
      <c r="A37" s="9" t="n">
        <v>33</v>
      </c>
      <c r="B37" s="9" t="inlineStr">
        <is>
          <t>heps_reconciliation</t>
        </is>
      </c>
      <c r="C37" s="9" t="inlineStr">
        <is>
          <t>36</t>
        </is>
      </c>
      <c r="D37" s="9" t="inlineStr">
        <is>
          <t>Loss on other investing activities [net]</t>
        </is>
      </c>
      <c r="E37" s="9" t="inlineStr">
        <is>
          <t>FY2025</t>
        </is>
      </c>
      <c r="F37" s="9" t="inlineStr">
        <is>
          <t>as_reported</t>
        </is>
      </c>
      <c r="G37" s="10" t="n">
        <v>6</v>
      </c>
      <c r="H37" s="9" t="inlineStr">
        <is>
          <t>millions</t>
        </is>
      </c>
      <c r="I37" s="9" t="inlineStr">
        <is>
          <t>currency</t>
        </is>
      </c>
      <c r="J37" s="9" t="inlineStr">
        <is>
          <t>ZAR</t>
        </is>
      </c>
      <c r="K37" s="11" t="n"/>
      <c r="L37" s="11" t="n"/>
      <c r="M37" s="9" t="inlineStr">
        <is>
          <t>heps_adj_other_investing_net</t>
        </is>
      </c>
      <c r="N37" s="9" t="inlineStr"/>
    </row>
    <row r="38">
      <c r="A38" s="9" t="n">
        <v>34</v>
      </c>
      <c r="B38" s="9" t="inlineStr">
        <is>
          <t>heps_reconciliation</t>
        </is>
      </c>
      <c r="C38" s="9" t="inlineStr">
        <is>
          <t>36</t>
        </is>
      </c>
      <c r="D38" s="9" t="inlineStr">
        <is>
          <t>Re-measurements attributable to non-controlling interest [gross]</t>
        </is>
      </c>
      <c r="E38" s="9" t="inlineStr">
        <is>
          <t>FY2025</t>
        </is>
      </c>
      <c r="F38" s="9" t="inlineStr">
        <is>
          <t>as_reported</t>
        </is>
      </c>
      <c r="G38" s="10" t="n">
        <v>-3</v>
      </c>
      <c r="H38" s="9" t="inlineStr">
        <is>
          <t>millions</t>
        </is>
      </c>
      <c r="I38" s="9" t="inlineStr">
        <is>
          <t>currency</t>
        </is>
      </c>
      <c r="J38" s="9" t="inlineStr">
        <is>
          <t>ZAR</t>
        </is>
      </c>
      <c r="K38" s="11" t="n"/>
      <c r="L38" s="11" t="n"/>
      <c r="M38" s="9" t="inlineStr">
        <is>
          <t>heps_adj_nci_gross</t>
        </is>
      </c>
      <c r="N38" s="9" t="inlineStr">
        <is>
          <t>Each adjustment is shown gross, then tax effect, then NCI - the treatment an engineer would get wrong</t>
        </is>
      </c>
    </row>
    <row r="39">
      <c r="A39" s="9" t="n">
        <v>35</v>
      </c>
      <c r="B39" s="9" t="inlineStr">
        <is>
          <t>heps_reconciliation</t>
        </is>
      </c>
      <c r="C39" s="9" t="inlineStr">
        <is>
          <t>36</t>
        </is>
      </c>
      <c r="D39" s="9" t="inlineStr">
        <is>
          <t>Re-measurements attributable to non-controlling interest [tax effect]</t>
        </is>
      </c>
      <c r="E39" s="9" t="inlineStr">
        <is>
          <t>FY2025</t>
        </is>
      </c>
      <c r="F39" s="9" t="inlineStr">
        <is>
          <t>as_reported</t>
        </is>
      </c>
      <c r="G39" s="10" t="n">
        <v>0</v>
      </c>
      <c r="H39" s="9" t="inlineStr">
        <is>
          <t>millions</t>
        </is>
      </c>
      <c r="I39" s="9" t="inlineStr">
        <is>
          <t>currency</t>
        </is>
      </c>
      <c r="J39" s="9" t="inlineStr">
        <is>
          <t>ZAR</t>
        </is>
      </c>
      <c r="K39" s="11" t="n"/>
      <c r="L39" s="11" t="n"/>
      <c r="M39" s="9" t="inlineStr">
        <is>
          <t>heps_adj_nci_tax</t>
        </is>
      </c>
      <c r="N39" s="9" t="inlineStr"/>
    </row>
    <row r="40">
      <c r="A40" s="9" t="n">
        <v>36</v>
      </c>
      <c r="B40" s="9" t="inlineStr">
        <is>
          <t>heps_reconciliation</t>
        </is>
      </c>
      <c r="C40" s="9" t="inlineStr">
        <is>
          <t>36</t>
        </is>
      </c>
      <c r="D40" s="9" t="inlineStr">
        <is>
          <t>Re-measurements attributable to non-controlling interest [net]</t>
        </is>
      </c>
      <c r="E40" s="9" t="inlineStr">
        <is>
          <t>FY2025</t>
        </is>
      </c>
      <c r="F40" s="9" t="inlineStr">
        <is>
          <t>as_reported</t>
        </is>
      </c>
      <c r="G40" s="10" t="n">
        <v>-3</v>
      </c>
      <c r="H40" s="9" t="inlineStr">
        <is>
          <t>millions</t>
        </is>
      </c>
      <c r="I40" s="9" t="inlineStr">
        <is>
          <t>currency</t>
        </is>
      </c>
      <c r="J40" s="9" t="inlineStr">
        <is>
          <t>ZAR</t>
        </is>
      </c>
      <c r="K40" s="11" t="n"/>
      <c r="L40" s="11" t="n"/>
      <c r="M40" s="9" t="inlineStr">
        <is>
          <t>heps_adj_nci_net</t>
        </is>
      </c>
      <c r="N40" s="9" t="inlineStr"/>
    </row>
    <row r="41">
      <c r="A41" s="9" t="n">
        <v>37</v>
      </c>
      <c r="B41" s="9" t="inlineStr">
        <is>
          <t>heps_reconciliation</t>
        </is>
      </c>
      <c r="C41" s="9" t="inlineStr">
        <is>
          <t>36</t>
        </is>
      </c>
      <c r="D41" s="9" t="inlineStr">
        <is>
          <t>Headline earnings from continuing operations [gross]</t>
        </is>
      </c>
      <c r="E41" s="9" t="inlineStr">
        <is>
          <t>FY2025</t>
        </is>
      </c>
      <c r="F41" s="9" t="inlineStr">
        <is>
          <t>as_reported</t>
        </is>
      </c>
      <c r="G41" s="10" t="n">
        <v>97</v>
      </c>
      <c r="H41" s="9" t="inlineStr">
        <is>
          <t>millions</t>
        </is>
      </c>
      <c r="I41" s="9" t="inlineStr">
        <is>
          <t>currency</t>
        </is>
      </c>
      <c r="J41" s="9" t="inlineStr">
        <is>
          <t>ZAR</t>
        </is>
      </c>
      <c r="K41" s="11" t="n"/>
      <c r="L41" s="11" t="n"/>
      <c r="M41" s="9" t="inlineStr">
        <is>
          <t>headline_earnings_continuing_gross</t>
        </is>
      </c>
      <c r="N41" s="9" t="inlineStr"/>
    </row>
    <row r="42">
      <c r="A42" s="9" t="n">
        <v>38</v>
      </c>
      <c r="B42" s="9" t="inlineStr">
        <is>
          <t>heps_reconciliation</t>
        </is>
      </c>
      <c r="C42" s="9" t="inlineStr">
        <is>
          <t>36</t>
        </is>
      </c>
      <c r="D42" s="9" t="inlineStr">
        <is>
          <t>Headline earnings from continuing operations [tax effect]</t>
        </is>
      </c>
      <c r="E42" s="9" t="inlineStr">
        <is>
          <t>FY2025</t>
        </is>
      </c>
      <c r="F42" s="9" t="inlineStr">
        <is>
          <t>as_reported</t>
        </is>
      </c>
      <c r="G42" s="10" t="n">
        <v>-70</v>
      </c>
      <c r="H42" s="9" t="inlineStr">
        <is>
          <t>millions</t>
        </is>
      </c>
      <c r="I42" s="9" t="inlineStr">
        <is>
          <t>currency</t>
        </is>
      </c>
      <c r="J42" s="9" t="inlineStr">
        <is>
          <t>ZAR</t>
        </is>
      </c>
      <c r="K42" s="11" t="n"/>
      <c r="L42" s="11" t="n"/>
      <c r="M42" s="9" t="inlineStr">
        <is>
          <t>headline_earnings_continuing_tax</t>
        </is>
      </c>
      <c r="N42" s="9" t="inlineStr"/>
    </row>
    <row r="43">
      <c r="A43" s="9" t="n">
        <v>39</v>
      </c>
      <c r="B43" s="9" t="inlineStr">
        <is>
          <t>heps_reconciliation</t>
        </is>
      </c>
      <c r="C43" s="9" t="inlineStr">
        <is>
          <t>36</t>
        </is>
      </c>
      <c r="D43" s="9" t="inlineStr">
        <is>
          <t>Headline earnings from continuing operations [net]</t>
        </is>
      </c>
      <c r="E43" s="9" t="inlineStr">
        <is>
          <t>FY2025</t>
        </is>
      </c>
      <c r="F43" s="9" t="inlineStr">
        <is>
          <t>as_reported</t>
        </is>
      </c>
      <c r="G43" s="10" t="n">
        <v>7428</v>
      </c>
      <c r="H43" s="9" t="inlineStr">
        <is>
          <t>millions</t>
        </is>
      </c>
      <c r="I43" s="9" t="inlineStr">
        <is>
          <t>currency</t>
        </is>
      </c>
      <c r="J43" s="9" t="inlineStr">
        <is>
          <t>ZAR</t>
        </is>
      </c>
      <c r="K43" s="11" t="n"/>
      <c r="L43" s="11" t="n"/>
      <c r="M43" s="9" t="inlineStr">
        <is>
          <t>headline_earnings_continuing_net</t>
        </is>
      </c>
      <c r="N43" s="9" t="inlineStr"/>
    </row>
    <row r="44">
      <c r="A44" s="9" t="n">
        <v>40</v>
      </c>
      <c r="B44" s="9" t="inlineStr">
        <is>
          <t>heps_reconciliation</t>
        </is>
      </c>
      <c r="C44" s="9" t="inlineStr">
        <is>
          <t>36</t>
        </is>
      </c>
      <c r="D44" s="9" t="inlineStr">
        <is>
          <t>Profit from discontinued operations (add back) [net]</t>
        </is>
      </c>
      <c r="E44" s="9" t="inlineStr">
        <is>
          <t>FY2025</t>
        </is>
      </c>
      <c r="F44" s="9" t="inlineStr">
        <is>
          <t>as_reported</t>
        </is>
      </c>
      <c r="G44" s="10" t="n">
        <v>184</v>
      </c>
      <c r="H44" s="9" t="inlineStr">
        <is>
          <t>millions</t>
        </is>
      </c>
      <c r="I44" s="9" t="inlineStr">
        <is>
          <t>currency</t>
        </is>
      </c>
      <c r="J44" s="9" t="inlineStr">
        <is>
          <t>ZAR</t>
        </is>
      </c>
      <c r="K44" s="11" t="n"/>
      <c r="L44" s="11" t="n"/>
      <c r="M44" s="9" t="inlineStr">
        <is>
          <t>heps_disc_addback_net</t>
        </is>
      </c>
      <c r="N44" s="9" t="inlineStr"/>
    </row>
    <row r="45">
      <c r="A45" s="9" t="n">
        <v>41</v>
      </c>
      <c r="B45" s="9" t="inlineStr">
        <is>
          <t>heps_reconciliation</t>
        </is>
      </c>
      <c r="C45" s="9" t="inlineStr">
        <is>
          <t>36</t>
        </is>
      </c>
      <c r="D45" s="9" t="inlineStr">
        <is>
          <t>Items of a capital nature from discontinued operations [gross]</t>
        </is>
      </c>
      <c r="E45" s="9" t="inlineStr">
        <is>
          <t>FY2025</t>
        </is>
      </c>
      <c r="F45" s="9" t="inlineStr">
        <is>
          <t>as_reported</t>
        </is>
      </c>
      <c r="G45" s="10" t="n">
        <v>150</v>
      </c>
      <c r="H45" s="9" t="inlineStr">
        <is>
          <t>millions</t>
        </is>
      </c>
      <c r="I45" s="9" t="inlineStr">
        <is>
          <t>currency</t>
        </is>
      </c>
      <c r="J45" s="9" t="inlineStr">
        <is>
          <t>ZAR</t>
        </is>
      </c>
      <c r="K45" s="11" t="n"/>
      <c r="L45" s="11" t="n"/>
      <c r="M45" s="9" t="inlineStr">
        <is>
          <t>heps_adj_capital_discontinued_gross</t>
        </is>
      </c>
      <c r="N45" s="9" t="inlineStr"/>
    </row>
    <row r="46">
      <c r="A46" s="9" t="n">
        <v>42</v>
      </c>
      <c r="B46" s="9" t="inlineStr">
        <is>
          <t>heps_reconciliation</t>
        </is>
      </c>
      <c r="C46" s="9" t="inlineStr">
        <is>
          <t>36</t>
        </is>
      </c>
      <c r="D46" s="9" t="inlineStr">
        <is>
          <t>Items of a capital nature from discontinued operations [tax effect]</t>
        </is>
      </c>
      <c r="E46" s="9" t="inlineStr">
        <is>
          <t>FY2025</t>
        </is>
      </c>
      <c r="F46" s="9" t="inlineStr">
        <is>
          <t>as_reported</t>
        </is>
      </c>
      <c r="G46" s="10" t="n">
        <v>-12</v>
      </c>
      <c r="H46" s="9" t="inlineStr">
        <is>
          <t>millions</t>
        </is>
      </c>
      <c r="I46" s="9" t="inlineStr">
        <is>
          <t>currency</t>
        </is>
      </c>
      <c r="J46" s="9" t="inlineStr">
        <is>
          <t>ZAR</t>
        </is>
      </c>
      <c r="K46" s="11" t="n"/>
      <c r="L46" s="11" t="n"/>
      <c r="M46" s="9" t="inlineStr">
        <is>
          <t>heps_adj_capital_discontinued_tax</t>
        </is>
      </c>
      <c r="N46" s="9" t="inlineStr"/>
    </row>
    <row r="47">
      <c r="A47" s="9" t="n">
        <v>43</v>
      </c>
      <c r="B47" s="9" t="inlineStr">
        <is>
          <t>heps_reconciliation</t>
        </is>
      </c>
      <c r="C47" s="9" t="inlineStr">
        <is>
          <t>36</t>
        </is>
      </c>
      <c r="D47" s="9" t="inlineStr">
        <is>
          <t>Items of a capital nature from discontinued operations [net]</t>
        </is>
      </c>
      <c r="E47" s="9" t="inlineStr">
        <is>
          <t>FY2025</t>
        </is>
      </c>
      <c r="F47" s="9" t="inlineStr">
        <is>
          <t>as_reported</t>
        </is>
      </c>
      <c r="G47" s="10" t="n">
        <v>138</v>
      </c>
      <c r="H47" s="9" t="inlineStr">
        <is>
          <t>millions</t>
        </is>
      </c>
      <c r="I47" s="9" t="inlineStr">
        <is>
          <t>currency</t>
        </is>
      </c>
      <c r="J47" s="9" t="inlineStr">
        <is>
          <t>ZAR</t>
        </is>
      </c>
      <c r="K47" s="11" t="n"/>
      <c r="L47" s="11" t="n"/>
      <c r="M47" s="9" t="inlineStr">
        <is>
          <t>heps_adj_capital_discontinued_net</t>
        </is>
      </c>
      <c r="N47" s="9" t="inlineStr"/>
    </row>
    <row r="48">
      <c r="A48" s="9" t="n">
        <v>44</v>
      </c>
      <c r="B48" s="9" t="inlineStr">
        <is>
          <t>heps_reconciliation</t>
        </is>
      </c>
      <c r="C48" s="9" t="inlineStr">
        <is>
          <t>36</t>
        </is>
      </c>
      <c r="D48" s="9" t="inlineStr">
        <is>
          <t>Headline earnings [gross]</t>
        </is>
      </c>
      <c r="E48" s="9" t="inlineStr">
        <is>
          <t>FY2025</t>
        </is>
      </c>
      <c r="F48" s="9" t="inlineStr">
        <is>
          <t>as_reported</t>
        </is>
      </c>
      <c r="G48" s="10" t="n">
        <v>247</v>
      </c>
      <c r="H48" s="9" t="inlineStr">
        <is>
          <t>millions</t>
        </is>
      </c>
      <c r="I48" s="9" t="inlineStr">
        <is>
          <t>currency</t>
        </is>
      </c>
      <c r="J48" s="9" t="inlineStr">
        <is>
          <t>ZAR</t>
        </is>
      </c>
      <c r="K48" s="11" t="n"/>
      <c r="L48" s="11" t="n"/>
      <c r="M48" s="9" t="inlineStr">
        <is>
          <t>headline_earnings_gross</t>
        </is>
      </c>
      <c r="N48" s="9" t="inlineStr">
        <is>
          <t>CHECK: headline earnings / weighted average shares x 100 must equal printed HEPS</t>
        </is>
      </c>
    </row>
    <row r="49">
      <c r="A49" s="9" t="n">
        <v>45</v>
      </c>
      <c r="B49" s="9" t="inlineStr">
        <is>
          <t>heps_reconciliation</t>
        </is>
      </c>
      <c r="C49" s="9" t="inlineStr">
        <is>
          <t>36</t>
        </is>
      </c>
      <c r="D49" s="9" t="inlineStr">
        <is>
          <t>Headline earnings [tax effect]</t>
        </is>
      </c>
      <c r="E49" s="9" t="inlineStr">
        <is>
          <t>FY2025</t>
        </is>
      </c>
      <c r="F49" s="9" t="inlineStr">
        <is>
          <t>as_reported</t>
        </is>
      </c>
      <c r="G49" s="10" t="n">
        <v>-82</v>
      </c>
      <c r="H49" s="9" t="inlineStr">
        <is>
          <t>millions</t>
        </is>
      </c>
      <c r="I49" s="9" t="inlineStr">
        <is>
          <t>currency</t>
        </is>
      </c>
      <c r="J49" s="9" t="inlineStr">
        <is>
          <t>ZAR</t>
        </is>
      </c>
      <c r="K49" s="11" t="n"/>
      <c r="L49" s="11" t="n"/>
      <c r="M49" s="9" t="inlineStr">
        <is>
          <t>headline_earnings_tax</t>
        </is>
      </c>
      <c r="N49" s="9" t="inlineStr"/>
    </row>
    <row r="50">
      <c r="A50" s="9" t="n">
        <v>46</v>
      </c>
      <c r="B50" s="9" t="inlineStr">
        <is>
          <t>heps_reconciliation</t>
        </is>
      </c>
      <c r="C50" s="9" t="inlineStr">
        <is>
          <t>36</t>
        </is>
      </c>
      <c r="D50" s="9" t="inlineStr">
        <is>
          <t>Headline earnings [net]</t>
        </is>
      </c>
      <c r="E50" s="9" t="inlineStr">
        <is>
          <t>FY2025</t>
        </is>
      </c>
      <c r="F50" s="9" t="inlineStr">
        <is>
          <t>as_reported</t>
        </is>
      </c>
      <c r="G50" s="10" t="n">
        <v>7750</v>
      </c>
      <c r="H50" s="9" t="inlineStr">
        <is>
          <t>millions</t>
        </is>
      </c>
      <c r="I50" s="9" t="inlineStr">
        <is>
          <t>currency</t>
        </is>
      </c>
      <c r="J50" s="9" t="inlineStr">
        <is>
          <t>ZAR</t>
        </is>
      </c>
      <c r="K50" s="11" t="n"/>
      <c r="L50" s="11" t="n"/>
      <c r="M50" s="9" t="inlineStr">
        <is>
          <t>headline_earnings_net</t>
        </is>
      </c>
      <c r="N50" s="9" t="inlineStr"/>
    </row>
    <row r="51">
      <c r="A51" s="9" t="n">
        <v>47</v>
      </c>
      <c r="B51" s="9" t="inlineStr">
        <is>
          <t>heps_reconciliation</t>
        </is>
      </c>
      <c r="C51" s="9" t="inlineStr">
        <is>
          <t>36</t>
        </is>
      </c>
      <c r="D51" s="9" t="inlineStr">
        <is>
          <t>Number of ordinary shares in issue (net of treasury shares)</t>
        </is>
      </c>
      <c r="E51" s="9" t="inlineStr">
        <is>
          <t>FY2025</t>
        </is>
      </c>
      <c r="F51" s="9" t="inlineStr">
        <is>
          <t>as_reported</t>
        </is>
      </c>
      <c r="G51" s="10" t="n">
        <v>540523</v>
      </c>
      <c r="H51" s="9" t="inlineStr">
        <is>
          <t>thousands</t>
        </is>
      </c>
      <c r="I51" s="9" t="inlineStr">
        <is>
          <t>count</t>
        </is>
      </c>
      <c r="J51" s="9" t="inlineStr">
        <is>
          <t>ZAR</t>
        </is>
      </c>
      <c r="K51" s="11" t="n"/>
      <c r="L51" s="11" t="n"/>
      <c r="M51" s="9" t="inlineStr">
        <is>
          <t>shares_in_issue</t>
        </is>
      </c>
      <c r="N51" s="9" t="inlineStr">
        <is>
          <t>Share COUNT in thousands - unit_type count, not currency</t>
        </is>
      </c>
    </row>
    <row r="52">
      <c r="A52" s="9" t="n">
        <v>48</v>
      </c>
      <c r="B52" s="9" t="inlineStr">
        <is>
          <t>heps_reconciliation</t>
        </is>
      </c>
      <c r="C52" s="9" t="inlineStr">
        <is>
          <t>36</t>
        </is>
      </c>
      <c r="D52" s="9" t="inlineStr">
        <is>
          <t>Weighted average number of ordinary shares</t>
        </is>
      </c>
      <c r="E52" s="9" t="inlineStr">
        <is>
          <t>FY2025</t>
        </is>
      </c>
      <c r="F52" s="9" t="inlineStr">
        <is>
          <t>as_reported</t>
        </is>
      </c>
      <c r="G52" s="10" t="n">
        <v>541440</v>
      </c>
      <c r="H52" s="9" t="inlineStr">
        <is>
          <t>thousands</t>
        </is>
      </c>
      <c r="I52" s="9" t="inlineStr">
        <is>
          <t>count</t>
        </is>
      </c>
      <c r="J52" s="9" t="inlineStr">
        <is>
          <t>ZAR</t>
        </is>
      </c>
      <c r="K52" s="11" t="n"/>
      <c r="L52" s="11" t="n"/>
      <c r="M52" s="9" t="inlineStr">
        <is>
          <t>weighted_average_shares</t>
        </is>
      </c>
      <c r="N52" s="9" t="inlineStr">
        <is>
          <t>Share COUNT in thousands - unit_type count, not currency</t>
        </is>
      </c>
    </row>
    <row r="53">
      <c r="A53" s="9" t="n">
        <v>49</v>
      </c>
      <c r="B53" s="9" t="inlineStr">
        <is>
          <t>heps_reconciliation</t>
        </is>
      </c>
      <c r="C53" s="9" t="inlineStr">
        <is>
          <t>36</t>
        </is>
      </c>
      <c r="D53" s="9" t="inlineStr">
        <is>
          <t>Weighted average number of ordinary shares adjusted for dilution</t>
        </is>
      </c>
      <c r="E53" s="9" t="inlineStr">
        <is>
          <t>FY2025</t>
        </is>
      </c>
      <c r="F53" s="9" t="inlineStr">
        <is>
          <t>as_reported</t>
        </is>
      </c>
      <c r="G53" s="10" t="n">
        <v>543396</v>
      </c>
      <c r="H53" s="9" t="inlineStr">
        <is>
          <t>thousands</t>
        </is>
      </c>
      <c r="I53" s="9" t="inlineStr">
        <is>
          <t>count</t>
        </is>
      </c>
      <c r="J53" s="9" t="inlineStr">
        <is>
          <t>ZAR</t>
        </is>
      </c>
      <c r="K53" s="11" t="n"/>
      <c r="L53" s="11" t="n"/>
      <c r="M53" s="9" t="inlineStr">
        <is>
          <t>weighted_average_shares_diluted</t>
        </is>
      </c>
      <c r="N53" s="9" t="inlineStr">
        <is>
          <t>Share COUNT in thousands - unit_type count, not currency</t>
        </is>
      </c>
    </row>
    <row r="54">
      <c r="A54" s="9" t="n">
        <v>50</v>
      </c>
      <c r="B54" s="9" t="inlineStr">
        <is>
          <t>heps_reconciliation</t>
        </is>
      </c>
      <c r="C54" s="9" t="inlineStr">
        <is>
          <t>36</t>
        </is>
      </c>
      <c r="D54" s="9" t="inlineStr">
        <is>
          <t>Headline earnings per share from continuing operations (cents)</t>
        </is>
      </c>
      <c r="E54" s="9" t="inlineStr">
        <is>
          <t>FY2025</t>
        </is>
      </c>
      <c r="F54" s="9" t="inlineStr">
        <is>
          <t>as_reported</t>
        </is>
      </c>
      <c r="G54" s="10" t="n">
        <v>1372.1</v>
      </c>
      <c r="H54" s="9" t="inlineStr">
        <is>
          <t>units</t>
        </is>
      </c>
      <c r="I54" s="9" t="inlineStr">
        <is>
          <t>cents_per_share</t>
        </is>
      </c>
      <c r="J54" s="9" t="inlineStr">
        <is>
          <t>ZAR</t>
        </is>
      </c>
      <c r="K54" s="11" t="n"/>
      <c r="L54" s="11" t="n"/>
      <c r="M54" s="9" t="inlineStr">
        <is>
          <t>heps_continuing</t>
        </is>
      </c>
      <c r="N54" s="9" t="inlineStr">
        <is>
          <t>THE number SA analysts use</t>
        </is>
      </c>
    </row>
    <row r="55">
      <c r="A55" s="9" t="n">
        <v>51</v>
      </c>
      <c r="B55" s="9" t="inlineStr">
        <is>
          <t>heps_reconciliation</t>
        </is>
      </c>
      <c r="C55" s="9" t="inlineStr">
        <is>
          <t>36</t>
        </is>
      </c>
      <c r="D55" s="9" t="inlineStr">
        <is>
          <t>Headline earnings per share - discontinued (cents)</t>
        </is>
      </c>
      <c r="E55" s="9" t="inlineStr">
        <is>
          <t>FY2025</t>
        </is>
      </c>
      <c r="F55" s="9" t="inlineStr">
        <is>
          <t>as_reported</t>
        </is>
      </c>
      <c r="G55" s="10" t="n">
        <v>59.5</v>
      </c>
      <c r="H55" s="9" t="inlineStr">
        <is>
          <t>units</t>
        </is>
      </c>
      <c r="I55" s="9" t="inlineStr">
        <is>
          <t>cents_per_share</t>
        </is>
      </c>
      <c r="J55" s="9" t="inlineStr">
        <is>
          <t>ZAR</t>
        </is>
      </c>
      <c r="K55" s="11" t="n"/>
      <c r="L55" s="11" t="n"/>
      <c r="M55" s="9" t="inlineStr">
        <is>
          <t>heps_discontinued</t>
        </is>
      </c>
      <c r="N55" s="9" t="inlineStr">
        <is>
          <t>THE number SA analysts use</t>
        </is>
      </c>
    </row>
    <row r="56">
      <c r="A56" s="9" t="n">
        <v>52</v>
      </c>
      <c r="B56" s="9" t="inlineStr">
        <is>
          <t>heps_reconciliation</t>
        </is>
      </c>
      <c r="C56" s="9" t="inlineStr">
        <is>
          <t>36</t>
        </is>
      </c>
      <c r="D56" s="9" t="inlineStr">
        <is>
          <t>Headline earnings per share - total (cents)</t>
        </is>
      </c>
      <c r="E56" s="9" t="inlineStr">
        <is>
          <t>FY2025</t>
        </is>
      </c>
      <c r="F56" s="9" t="inlineStr">
        <is>
          <t>as_reported</t>
        </is>
      </c>
      <c r="G56" s="10" t="n">
        <v>1431.6</v>
      </c>
      <c r="H56" s="9" t="inlineStr">
        <is>
          <t>units</t>
        </is>
      </c>
      <c r="I56" s="9" t="inlineStr">
        <is>
          <t>cents_per_share</t>
        </is>
      </c>
      <c r="J56" s="9" t="inlineStr">
        <is>
          <t>ZAR</t>
        </is>
      </c>
      <c r="K56" s="11" t="n"/>
      <c r="L56" s="11" t="n"/>
      <c r="M56" s="9" t="inlineStr">
        <is>
          <t>heps_total</t>
        </is>
      </c>
      <c r="N56" s="9" t="inlineStr">
        <is>
          <t>THE number SA analysts use</t>
        </is>
      </c>
    </row>
    <row r="57">
      <c r="A57" s="9" t="n">
        <v>53</v>
      </c>
      <c r="B57" s="9" t="inlineStr">
        <is>
          <t>heps_reconciliation</t>
        </is>
      </c>
      <c r="C57" s="9" t="inlineStr">
        <is>
          <t>36</t>
        </is>
      </c>
      <c r="D57" s="9" t="inlineStr">
        <is>
          <t>Diluted headline earnings per share - total (cents)</t>
        </is>
      </c>
      <c r="E57" s="9" t="inlineStr">
        <is>
          <t>FY2025</t>
        </is>
      </c>
      <c r="F57" s="9" t="inlineStr">
        <is>
          <t>as_reported</t>
        </is>
      </c>
      <c r="G57" s="10" t="n">
        <v>1426.5</v>
      </c>
      <c r="H57" s="9" t="inlineStr">
        <is>
          <t>units</t>
        </is>
      </c>
      <c r="I57" s="9" t="inlineStr">
        <is>
          <t>cents_per_share</t>
        </is>
      </c>
      <c r="J57" s="9" t="inlineStr">
        <is>
          <t>ZAR</t>
        </is>
      </c>
      <c r="K57" s="11" t="n"/>
      <c r="L57" s="11" t="n"/>
      <c r="M57" s="9" t="inlineStr">
        <is>
          <t>heps_diluted_total</t>
        </is>
      </c>
      <c r="N57" s="9" t="inlineStr">
        <is>
          <t>THE number SA analysts use</t>
        </is>
      </c>
    </row>
  </sheetData>
  <autoFilter ref="A4:N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52" customWidth="1" min="4" max="4"/>
    <col width="9" customWidth="1" min="5" max="5"/>
    <col width="13" customWidth="1" min="6" max="6"/>
    <col width="16" customWidth="1" min="7" max="7"/>
    <col width="11" customWidth="1" min="8" max="8"/>
    <col width="10" customWidth="1" min="9" max="9"/>
    <col width="9" customWidth="1" min="10" max="10"/>
    <col width="8" customWidth="1" min="11" max="11"/>
    <col width="9" customWidth="1" min="12" max="12"/>
    <col width="30" customWidth="1" min="13" max="13"/>
    <col width="44" customWidth="1" min="14" max="14"/>
  </cols>
  <sheetData>
    <row r="1">
      <c r="A1" s="6" t="inlineStr">
        <is>
          <t>M2.9  Operating segment information (note 2.1) - continuing operations</t>
        </is>
      </c>
    </row>
    <row r="2">
      <c r="A2" s="7" t="inlineStr">
        <is>
          <t>Source: Shoprite Holdings Ltd, Annual Financial Statements 2025 (52 weeks ended 29 June 2025). Values pre-filled from the published statements — VERIFY each against the PDF, then fill 'page' and set 'verified' to Y.</t>
        </is>
      </c>
    </row>
    <row r="4">
      <c r="A4" s="8" t="inlineStr">
        <is>
          <t>row_id</t>
        </is>
      </c>
      <c r="B4" s="8" t="inlineStr">
        <is>
          <t>statement</t>
        </is>
      </c>
      <c r="C4" s="8" t="inlineStr">
        <is>
          <t>note_ref</t>
        </is>
      </c>
      <c r="D4" s="8" t="inlineStr">
        <is>
          <t>as_reported_label</t>
        </is>
      </c>
      <c r="E4" s="8" t="inlineStr">
        <is>
          <t>period</t>
        </is>
      </c>
      <c r="F4" s="8" t="inlineStr">
        <is>
          <t>basis</t>
        </is>
      </c>
      <c r="G4" s="8" t="inlineStr">
        <is>
          <t>value_as_printed</t>
        </is>
      </c>
      <c r="H4" s="8" t="inlineStr">
        <is>
          <t>scale</t>
        </is>
      </c>
      <c r="I4" s="8" t="inlineStr">
        <is>
          <t>unit</t>
        </is>
      </c>
      <c r="J4" s="8" t="inlineStr">
        <is>
          <t>currency</t>
        </is>
      </c>
      <c r="K4" s="8" t="inlineStr">
        <is>
          <t>page</t>
        </is>
      </c>
      <c r="L4" s="8" t="inlineStr">
        <is>
          <t>verified</t>
        </is>
      </c>
      <c r="M4" s="8" t="inlineStr">
        <is>
          <t>concept_suggestion</t>
        </is>
      </c>
      <c r="N4" s="8" t="inlineStr">
        <is>
          <t>notes</t>
        </is>
      </c>
    </row>
    <row r="5">
      <c r="A5" s="9" t="n">
        <v>1</v>
      </c>
      <c r="B5" s="9" t="inlineStr">
        <is>
          <t>segment_note</t>
        </is>
      </c>
      <c r="C5" s="9" t="inlineStr">
        <is>
          <t>2.1</t>
        </is>
      </c>
      <c r="D5" s="9" t="inlineStr">
        <is>
          <t>Sale of merchandise - external :: Supermarkets RSA</t>
        </is>
      </c>
      <c r="E5" s="9" t="inlineStr">
        <is>
          <t>FY2025</t>
        </is>
      </c>
      <c r="F5" s="9" t="inlineStr">
        <is>
          <t>as_reported</t>
        </is>
      </c>
      <c r="G5" s="10" t="n">
        <v>213497</v>
      </c>
      <c r="H5" s="9" t="inlineStr">
        <is>
          <t>millions</t>
        </is>
      </c>
      <c r="I5" s="9" t="inlineStr">
        <is>
          <t>currency</t>
        </is>
      </c>
      <c r="J5" s="9" t="inlineStr">
        <is>
          <t>ZAR</t>
        </is>
      </c>
      <c r="K5" s="11" t="n"/>
      <c r="L5" s="11" t="n"/>
      <c r="M5" s="9" t="inlineStr">
        <is>
          <t>segment_revenue_external</t>
        </is>
      </c>
      <c r="N5" s="9" t="inlineStr"/>
    </row>
    <row r="6">
      <c r="A6" s="9" t="n">
        <v>2</v>
      </c>
      <c r="B6" s="9" t="inlineStr">
        <is>
          <t>segment_note</t>
        </is>
      </c>
      <c r="C6" s="9" t="inlineStr">
        <is>
          <t>2.1</t>
        </is>
      </c>
      <c r="D6" s="9" t="inlineStr">
        <is>
          <t>Sale of merchandise - external :: Supermarkets Non-RSA</t>
        </is>
      </c>
      <c r="E6" s="9" t="inlineStr">
        <is>
          <t>FY2025</t>
        </is>
      </c>
      <c r="F6" s="9" t="inlineStr">
        <is>
          <t>as_reported</t>
        </is>
      </c>
      <c r="G6" s="10" t="n">
        <v>20568</v>
      </c>
      <c r="H6" s="9" t="inlineStr">
        <is>
          <t>millions</t>
        </is>
      </c>
      <c r="I6" s="9" t="inlineStr">
        <is>
          <t>currency</t>
        </is>
      </c>
      <c r="J6" s="9" t="inlineStr">
        <is>
          <t>ZAR</t>
        </is>
      </c>
      <c r="K6" s="11" t="n"/>
      <c r="L6" s="11" t="n"/>
      <c r="M6" s="9" t="inlineStr">
        <is>
          <t>segment_revenue_external</t>
        </is>
      </c>
      <c r="N6" s="9" t="inlineStr"/>
    </row>
    <row r="7">
      <c r="A7" s="9" t="n">
        <v>3</v>
      </c>
      <c r="B7" s="9" t="inlineStr">
        <is>
          <t>segment_note</t>
        </is>
      </c>
      <c r="C7" s="9" t="inlineStr">
        <is>
          <t>2.1</t>
        </is>
      </c>
      <c r="D7" s="9" t="inlineStr">
        <is>
          <t>Sale of merchandise - external :: Other operating segments</t>
        </is>
      </c>
      <c r="E7" s="9" t="inlineStr">
        <is>
          <t>FY2025</t>
        </is>
      </c>
      <c r="F7" s="9" t="inlineStr">
        <is>
          <t>as_reported</t>
        </is>
      </c>
      <c r="G7" s="10" t="n">
        <v>18636</v>
      </c>
      <c r="H7" s="9" t="inlineStr">
        <is>
          <t>millions</t>
        </is>
      </c>
      <c r="I7" s="9" t="inlineStr">
        <is>
          <t>currency</t>
        </is>
      </c>
      <c r="J7" s="9" t="inlineStr">
        <is>
          <t>ZAR</t>
        </is>
      </c>
      <c r="K7" s="11" t="n"/>
      <c r="L7" s="11" t="n"/>
      <c r="M7" s="9" t="inlineStr">
        <is>
          <t>segment_revenue_external</t>
        </is>
      </c>
      <c r="N7" s="9" t="inlineStr"/>
    </row>
    <row r="8">
      <c r="A8" s="9" t="n">
        <v>4</v>
      </c>
      <c r="B8" s="9" t="inlineStr">
        <is>
          <t>segment_note</t>
        </is>
      </c>
      <c r="C8" s="9" t="inlineStr">
        <is>
          <t>2.1</t>
        </is>
      </c>
      <c r="D8" s="9" t="inlineStr">
        <is>
          <t>Sale of merchandise - external :: Total operating segments</t>
        </is>
      </c>
      <c r="E8" s="9" t="inlineStr">
        <is>
          <t>FY2025</t>
        </is>
      </c>
      <c r="F8" s="9" t="inlineStr">
        <is>
          <t>as_reported</t>
        </is>
      </c>
      <c r="G8" s="10" t="n">
        <v>252701</v>
      </c>
      <c r="H8" s="9" t="inlineStr">
        <is>
          <t>millions</t>
        </is>
      </c>
      <c r="I8" s="9" t="inlineStr">
        <is>
          <t>currency</t>
        </is>
      </c>
      <c r="J8" s="9" t="inlineStr">
        <is>
          <t>ZAR</t>
        </is>
      </c>
      <c r="K8" s="11" t="n"/>
      <c r="L8" s="11" t="n"/>
      <c r="M8" s="9" t="inlineStr">
        <is>
          <t>segment_revenue_external</t>
        </is>
      </c>
      <c r="N8" s="9" t="inlineStr"/>
    </row>
    <row r="9">
      <c r="A9" s="9" t="n">
        <v>5</v>
      </c>
      <c r="B9" s="9" t="inlineStr">
        <is>
          <t>segment_note</t>
        </is>
      </c>
      <c r="C9" s="9" t="inlineStr">
        <is>
          <t>2.1</t>
        </is>
      </c>
      <c r="D9" s="9" t="inlineStr">
        <is>
          <t>Sale of merchandise - external :: Hyperinflation effect and other reconciling items</t>
        </is>
      </c>
      <c r="E9" s="9" t="inlineStr">
        <is>
          <t>FY2025</t>
        </is>
      </c>
      <c r="F9" s="9" t="inlineStr">
        <is>
          <t>as_reported</t>
        </is>
      </c>
      <c r="G9" s="10" t="n">
        <v>0</v>
      </c>
      <c r="H9" s="9" t="inlineStr">
        <is>
          <t>millions</t>
        </is>
      </c>
      <c r="I9" s="9" t="inlineStr">
        <is>
          <t>currency</t>
        </is>
      </c>
      <c r="J9" s="9" t="inlineStr">
        <is>
          <t>ZAR</t>
        </is>
      </c>
      <c r="K9" s="11" t="n"/>
      <c r="L9" s="11" t="n"/>
      <c r="M9" s="9" t="inlineStr">
        <is>
          <t>segment_revenue_external</t>
        </is>
      </c>
      <c r="N9" s="9" t="inlineStr">
        <is>
          <t>RECONCILING COLUMN - segments do NOT sum directly to consolidated. M5.7's rule must account for this</t>
        </is>
      </c>
    </row>
    <row r="10">
      <c r="A10" s="9" t="n">
        <v>6</v>
      </c>
      <c r="B10" s="9" t="inlineStr">
        <is>
          <t>segment_note</t>
        </is>
      </c>
      <c r="C10" s="9" t="inlineStr">
        <is>
          <t>2.1</t>
        </is>
      </c>
      <c r="D10" s="9" t="inlineStr">
        <is>
          <t>Sale of merchandise - external :: Consolidated</t>
        </is>
      </c>
      <c r="E10" s="9" t="inlineStr">
        <is>
          <t>FY2025</t>
        </is>
      </c>
      <c r="F10" s="9" t="inlineStr">
        <is>
          <t>as_reported</t>
        </is>
      </c>
      <c r="G10" s="10" t="n">
        <v>252701</v>
      </c>
      <c r="H10" s="9" t="inlineStr">
        <is>
          <t>millions</t>
        </is>
      </c>
      <c r="I10" s="9" t="inlineStr">
        <is>
          <t>currency</t>
        </is>
      </c>
      <c r="J10" s="9" t="inlineStr">
        <is>
          <t>ZAR</t>
        </is>
      </c>
      <c r="K10" s="11" t="n"/>
      <c r="L10" s="11" t="n"/>
      <c r="M10" s="9" t="inlineStr">
        <is>
          <t>segment_revenue_external</t>
        </is>
      </c>
      <c r="N10" s="9" t="inlineStr"/>
    </row>
    <row r="11">
      <c r="A11" s="9" t="n">
        <v>7</v>
      </c>
      <c r="B11" s="9" t="inlineStr">
        <is>
          <t>segment_note</t>
        </is>
      </c>
      <c r="C11" s="9" t="inlineStr">
        <is>
          <t>2.1</t>
        </is>
      </c>
      <c r="D11" s="9" t="inlineStr">
        <is>
          <t>Sale of merchandise - inter-segment :: Supermarkets RSA</t>
        </is>
      </c>
      <c r="E11" s="9" t="inlineStr">
        <is>
          <t>FY2025</t>
        </is>
      </c>
      <c r="F11" s="9" t="inlineStr">
        <is>
          <t>as_reported</t>
        </is>
      </c>
      <c r="G11" s="10" t="n">
        <v>7483</v>
      </c>
      <c r="H11" s="9" t="inlineStr">
        <is>
          <t>millions</t>
        </is>
      </c>
      <c r="I11" s="9" t="inlineStr">
        <is>
          <t>currency</t>
        </is>
      </c>
      <c r="J11" s="9" t="inlineStr">
        <is>
          <t>ZAR</t>
        </is>
      </c>
      <c r="K11" s="11" t="n"/>
      <c r="L11" s="11" t="n"/>
      <c r="M11" s="9" t="inlineStr">
        <is>
          <t>segment_revenue_intersegment</t>
        </is>
      </c>
      <c r="N11" s="9" t="inlineStr"/>
    </row>
    <row r="12">
      <c r="A12" s="9" t="n">
        <v>8</v>
      </c>
      <c r="B12" s="9" t="inlineStr">
        <is>
          <t>segment_note</t>
        </is>
      </c>
      <c r="C12" s="9" t="inlineStr">
        <is>
          <t>2.1</t>
        </is>
      </c>
      <c r="D12" s="9" t="inlineStr">
        <is>
          <t>Sale of merchandise - inter-segment :: Supermarkets Non-RSA</t>
        </is>
      </c>
      <c r="E12" s="9" t="inlineStr">
        <is>
          <t>FY2025</t>
        </is>
      </c>
      <c r="F12" s="9" t="inlineStr">
        <is>
          <t>as_reported</t>
        </is>
      </c>
      <c r="G12" s="10" t="n">
        <v>50</v>
      </c>
      <c r="H12" s="9" t="inlineStr">
        <is>
          <t>millions</t>
        </is>
      </c>
      <c r="I12" s="9" t="inlineStr">
        <is>
          <t>currency</t>
        </is>
      </c>
      <c r="J12" s="9" t="inlineStr">
        <is>
          <t>ZAR</t>
        </is>
      </c>
      <c r="K12" s="11" t="n"/>
      <c r="L12" s="11" t="n"/>
      <c r="M12" s="9" t="inlineStr">
        <is>
          <t>segment_revenue_intersegment</t>
        </is>
      </c>
      <c r="N12" s="9" t="inlineStr"/>
    </row>
    <row r="13">
      <c r="A13" s="9" t="n">
        <v>9</v>
      </c>
      <c r="B13" s="9" t="inlineStr">
        <is>
          <t>segment_note</t>
        </is>
      </c>
      <c r="C13" s="9" t="inlineStr">
        <is>
          <t>2.1</t>
        </is>
      </c>
      <c r="D13" s="9" t="inlineStr">
        <is>
          <t>Sale of merchandise - inter-segment :: Other operating segments</t>
        </is>
      </c>
      <c r="E13" s="9" t="inlineStr">
        <is>
          <t>FY2025</t>
        </is>
      </c>
      <c r="F13" s="9" t="inlineStr">
        <is>
          <t>as_reported</t>
        </is>
      </c>
      <c r="G13" s="10" t="n">
        <v>28</v>
      </c>
      <c r="H13" s="9" t="inlineStr">
        <is>
          <t>millions</t>
        </is>
      </c>
      <c r="I13" s="9" t="inlineStr">
        <is>
          <t>currency</t>
        </is>
      </c>
      <c r="J13" s="9" t="inlineStr">
        <is>
          <t>ZAR</t>
        </is>
      </c>
      <c r="K13" s="11" t="n"/>
      <c r="L13" s="11" t="n"/>
      <c r="M13" s="9" t="inlineStr">
        <is>
          <t>segment_revenue_intersegment</t>
        </is>
      </c>
      <c r="N13" s="9" t="inlineStr"/>
    </row>
    <row r="14">
      <c r="A14" s="9" t="n">
        <v>10</v>
      </c>
      <c r="B14" s="9" t="inlineStr">
        <is>
          <t>segment_note</t>
        </is>
      </c>
      <c r="C14" s="9" t="inlineStr">
        <is>
          <t>2.1</t>
        </is>
      </c>
      <c r="D14" s="9" t="inlineStr">
        <is>
          <t>Sale of merchandise - inter-segment :: Total operating segments</t>
        </is>
      </c>
      <c r="E14" s="9" t="inlineStr">
        <is>
          <t>FY2025</t>
        </is>
      </c>
      <c r="F14" s="9" t="inlineStr">
        <is>
          <t>as_reported</t>
        </is>
      </c>
      <c r="G14" s="10" t="n">
        <v>7561</v>
      </c>
      <c r="H14" s="9" t="inlineStr">
        <is>
          <t>millions</t>
        </is>
      </c>
      <c r="I14" s="9" t="inlineStr">
        <is>
          <t>currency</t>
        </is>
      </c>
      <c r="J14" s="9" t="inlineStr">
        <is>
          <t>ZAR</t>
        </is>
      </c>
      <c r="K14" s="11" t="n"/>
      <c r="L14" s="11" t="n"/>
      <c r="M14" s="9" t="inlineStr">
        <is>
          <t>segment_revenue_intersegment</t>
        </is>
      </c>
      <c r="N14" s="9" t="inlineStr"/>
    </row>
    <row r="15">
      <c r="A15" s="9" t="n">
        <v>11</v>
      </c>
      <c r="B15" s="9" t="inlineStr">
        <is>
          <t>segment_note</t>
        </is>
      </c>
      <c r="C15" s="9" t="inlineStr">
        <is>
          <t>2.1</t>
        </is>
      </c>
      <c r="D15" s="9" t="inlineStr">
        <is>
          <t>Sale of merchandise - inter-segment :: Hyperinflation effect and other reconciling items</t>
        </is>
      </c>
      <c r="E15" s="9" t="inlineStr">
        <is>
          <t>FY2025</t>
        </is>
      </c>
      <c r="F15" s="9" t="inlineStr">
        <is>
          <t>as_reported</t>
        </is>
      </c>
      <c r="G15" s="10" t="n">
        <v>0</v>
      </c>
      <c r="H15" s="9" t="inlineStr">
        <is>
          <t>millions</t>
        </is>
      </c>
      <c r="I15" s="9" t="inlineStr">
        <is>
          <t>currency</t>
        </is>
      </c>
      <c r="J15" s="9" t="inlineStr">
        <is>
          <t>ZAR</t>
        </is>
      </c>
      <c r="K15" s="11" t="n"/>
      <c r="L15" s="11" t="n"/>
      <c r="M15" s="9" t="inlineStr">
        <is>
          <t>segment_revenue_intersegment</t>
        </is>
      </c>
      <c r="N15" s="9" t="inlineStr">
        <is>
          <t>RECONCILING COLUMN - segments do NOT sum directly to consolidated. M5.7's rule must account for this</t>
        </is>
      </c>
    </row>
    <row r="16">
      <c r="A16" s="9" t="n">
        <v>12</v>
      </c>
      <c r="B16" s="9" t="inlineStr">
        <is>
          <t>segment_note</t>
        </is>
      </c>
      <c r="C16" s="9" t="inlineStr">
        <is>
          <t>2.1</t>
        </is>
      </c>
      <c r="D16" s="9" t="inlineStr">
        <is>
          <t>Sale of merchandise - inter-segment :: Consolidated</t>
        </is>
      </c>
      <c r="E16" s="9" t="inlineStr">
        <is>
          <t>FY2025</t>
        </is>
      </c>
      <c r="F16" s="9" t="inlineStr">
        <is>
          <t>as_reported</t>
        </is>
      </c>
      <c r="G16" s="10" t="n">
        <v>7561</v>
      </c>
      <c r="H16" s="9" t="inlineStr">
        <is>
          <t>millions</t>
        </is>
      </c>
      <c r="I16" s="9" t="inlineStr">
        <is>
          <t>currency</t>
        </is>
      </c>
      <c r="J16" s="9" t="inlineStr">
        <is>
          <t>ZAR</t>
        </is>
      </c>
      <c r="K16" s="11" t="n"/>
      <c r="L16" s="11" t="n"/>
      <c r="M16" s="9" t="inlineStr">
        <is>
          <t>segment_revenue_intersegment</t>
        </is>
      </c>
      <c r="N16" s="9" t="inlineStr"/>
    </row>
    <row r="17">
      <c r="A17" s="9" t="n">
        <v>13</v>
      </c>
      <c r="B17" s="9" t="inlineStr">
        <is>
          <t>segment_note</t>
        </is>
      </c>
      <c r="C17" s="9" t="inlineStr">
        <is>
          <t>2.1</t>
        </is>
      </c>
      <c r="D17" s="9" t="inlineStr">
        <is>
          <t>Sale of merchandise - total :: Supermarkets RSA</t>
        </is>
      </c>
      <c r="E17" s="9" t="inlineStr">
        <is>
          <t>FY2025</t>
        </is>
      </c>
      <c r="F17" s="9" t="inlineStr">
        <is>
          <t>as_reported</t>
        </is>
      </c>
      <c r="G17" s="10" t="n">
        <v>220980</v>
      </c>
      <c r="H17" s="9" t="inlineStr">
        <is>
          <t>millions</t>
        </is>
      </c>
      <c r="I17" s="9" t="inlineStr">
        <is>
          <t>currency</t>
        </is>
      </c>
      <c r="J17" s="9" t="inlineStr">
        <is>
          <t>ZAR</t>
        </is>
      </c>
      <c r="K17" s="11" t="n"/>
      <c r="L17" s="11" t="n"/>
      <c r="M17" s="9" t="inlineStr">
        <is>
          <t>segment_revenue_total</t>
        </is>
      </c>
      <c r="N17" s="9" t="inlineStr"/>
    </row>
    <row r="18">
      <c r="A18" s="9" t="n">
        <v>14</v>
      </c>
      <c r="B18" s="9" t="inlineStr">
        <is>
          <t>segment_note</t>
        </is>
      </c>
      <c r="C18" s="9" t="inlineStr">
        <is>
          <t>2.1</t>
        </is>
      </c>
      <c r="D18" s="9" t="inlineStr">
        <is>
          <t>Sale of merchandise - total :: Supermarkets Non-RSA</t>
        </is>
      </c>
      <c r="E18" s="9" t="inlineStr">
        <is>
          <t>FY2025</t>
        </is>
      </c>
      <c r="F18" s="9" t="inlineStr">
        <is>
          <t>as_reported</t>
        </is>
      </c>
      <c r="G18" s="10" t="n">
        <v>20618</v>
      </c>
      <c r="H18" s="9" t="inlineStr">
        <is>
          <t>millions</t>
        </is>
      </c>
      <c r="I18" s="9" t="inlineStr">
        <is>
          <t>currency</t>
        </is>
      </c>
      <c r="J18" s="9" t="inlineStr">
        <is>
          <t>ZAR</t>
        </is>
      </c>
      <c r="K18" s="11" t="n"/>
      <c r="L18" s="11" t="n"/>
      <c r="M18" s="9" t="inlineStr">
        <is>
          <t>segment_revenue_total</t>
        </is>
      </c>
      <c r="N18" s="9" t="inlineStr"/>
    </row>
    <row r="19">
      <c r="A19" s="9" t="n">
        <v>15</v>
      </c>
      <c r="B19" s="9" t="inlineStr">
        <is>
          <t>segment_note</t>
        </is>
      </c>
      <c r="C19" s="9" t="inlineStr">
        <is>
          <t>2.1</t>
        </is>
      </c>
      <c r="D19" s="9" t="inlineStr">
        <is>
          <t>Sale of merchandise - total :: Other operating segments</t>
        </is>
      </c>
      <c r="E19" s="9" t="inlineStr">
        <is>
          <t>FY2025</t>
        </is>
      </c>
      <c r="F19" s="9" t="inlineStr">
        <is>
          <t>as_reported</t>
        </is>
      </c>
      <c r="G19" s="10" t="n">
        <v>18664</v>
      </c>
      <c r="H19" s="9" t="inlineStr">
        <is>
          <t>millions</t>
        </is>
      </c>
      <c r="I19" s="9" t="inlineStr">
        <is>
          <t>currency</t>
        </is>
      </c>
      <c r="J19" s="9" t="inlineStr">
        <is>
          <t>ZAR</t>
        </is>
      </c>
      <c r="K19" s="11" t="n"/>
      <c r="L19" s="11" t="n"/>
      <c r="M19" s="9" t="inlineStr">
        <is>
          <t>segment_revenue_total</t>
        </is>
      </c>
      <c r="N19" s="9" t="inlineStr"/>
    </row>
    <row r="20">
      <c r="A20" s="9" t="n">
        <v>16</v>
      </c>
      <c r="B20" s="9" t="inlineStr">
        <is>
          <t>segment_note</t>
        </is>
      </c>
      <c r="C20" s="9" t="inlineStr">
        <is>
          <t>2.1</t>
        </is>
      </c>
      <c r="D20" s="9" t="inlineStr">
        <is>
          <t>Sale of merchandise - total :: Total operating segments</t>
        </is>
      </c>
      <c r="E20" s="9" t="inlineStr">
        <is>
          <t>FY2025</t>
        </is>
      </c>
      <c r="F20" s="9" t="inlineStr">
        <is>
          <t>as_reported</t>
        </is>
      </c>
      <c r="G20" s="10" t="n">
        <v>260262</v>
      </c>
      <c r="H20" s="9" t="inlineStr">
        <is>
          <t>millions</t>
        </is>
      </c>
      <c r="I20" s="9" t="inlineStr">
        <is>
          <t>currency</t>
        </is>
      </c>
      <c r="J20" s="9" t="inlineStr">
        <is>
          <t>ZAR</t>
        </is>
      </c>
      <c r="K20" s="11" t="n"/>
      <c r="L20" s="11" t="n"/>
      <c r="M20" s="9" t="inlineStr">
        <is>
          <t>segment_revenue_total</t>
        </is>
      </c>
      <c r="N20" s="9" t="inlineStr"/>
    </row>
    <row r="21">
      <c r="A21" s="9" t="n">
        <v>17</v>
      </c>
      <c r="B21" s="9" t="inlineStr">
        <is>
          <t>segment_note</t>
        </is>
      </c>
      <c r="C21" s="9" t="inlineStr">
        <is>
          <t>2.1</t>
        </is>
      </c>
      <c r="D21" s="9" t="inlineStr">
        <is>
          <t>Sale of merchandise - total :: Hyperinflation effect and other reconciling items</t>
        </is>
      </c>
      <c r="E21" s="9" t="inlineStr">
        <is>
          <t>FY2025</t>
        </is>
      </c>
      <c r="F21" s="9" t="inlineStr">
        <is>
          <t>as_reported</t>
        </is>
      </c>
      <c r="G21" s="10" t="n">
        <v>0</v>
      </c>
      <c r="H21" s="9" t="inlineStr">
        <is>
          <t>millions</t>
        </is>
      </c>
      <c r="I21" s="9" t="inlineStr">
        <is>
          <t>currency</t>
        </is>
      </c>
      <c r="J21" s="9" t="inlineStr">
        <is>
          <t>ZAR</t>
        </is>
      </c>
      <c r="K21" s="11" t="n"/>
      <c r="L21" s="11" t="n"/>
      <c r="M21" s="9" t="inlineStr">
        <is>
          <t>segment_revenue_total</t>
        </is>
      </c>
      <c r="N21" s="9" t="inlineStr">
        <is>
          <t>RECONCILING COLUMN - segments do NOT sum directly to consolidated. M5.7's rule must account for this</t>
        </is>
      </c>
    </row>
    <row r="22">
      <c r="A22" s="9" t="n">
        <v>18</v>
      </c>
      <c r="B22" s="9" t="inlineStr">
        <is>
          <t>segment_note</t>
        </is>
      </c>
      <c r="C22" s="9" t="inlineStr">
        <is>
          <t>2.1</t>
        </is>
      </c>
      <c r="D22" s="9" t="inlineStr">
        <is>
          <t>Sale of merchandise - total :: Consolidated</t>
        </is>
      </c>
      <c r="E22" s="9" t="inlineStr">
        <is>
          <t>FY2025</t>
        </is>
      </c>
      <c r="F22" s="9" t="inlineStr">
        <is>
          <t>as_reported</t>
        </is>
      </c>
      <c r="G22" s="10" t="n">
        <v>260262</v>
      </c>
      <c r="H22" s="9" t="inlineStr">
        <is>
          <t>millions</t>
        </is>
      </c>
      <c r="I22" s="9" t="inlineStr">
        <is>
          <t>currency</t>
        </is>
      </c>
      <c r="J22" s="9" t="inlineStr">
        <is>
          <t>ZAR</t>
        </is>
      </c>
      <c r="K22" s="11" t="n"/>
      <c r="L22" s="11" t="n"/>
      <c r="M22" s="9" t="inlineStr">
        <is>
          <t>segment_revenue_total</t>
        </is>
      </c>
      <c r="N22" s="9" t="inlineStr"/>
    </row>
    <row r="23">
      <c r="A23" s="9" t="n">
        <v>19</v>
      </c>
      <c r="B23" s="9" t="inlineStr">
        <is>
          <t>segment_note</t>
        </is>
      </c>
      <c r="C23" s="9" t="inlineStr">
        <is>
          <t>2.1</t>
        </is>
      </c>
      <c r="D23" s="9" t="inlineStr">
        <is>
          <t>Trading profit/(loss) :: Supermarkets RSA</t>
        </is>
      </c>
      <c r="E23" s="9" t="inlineStr">
        <is>
          <t>FY2025</t>
        </is>
      </c>
      <c r="F23" s="9" t="inlineStr">
        <is>
          <t>as_reported</t>
        </is>
      </c>
      <c r="G23" s="10" t="n">
        <v>13904</v>
      </c>
      <c r="H23" s="9" t="inlineStr">
        <is>
          <t>millions</t>
        </is>
      </c>
      <c r="I23" s="9" t="inlineStr">
        <is>
          <t>currency</t>
        </is>
      </c>
      <c r="J23" s="9" t="inlineStr">
        <is>
          <t>ZAR</t>
        </is>
      </c>
      <c r="K23" s="11" t="n"/>
      <c r="L23" s="11" t="n"/>
      <c r="M23" s="9" t="inlineStr">
        <is>
          <t>segment_trading_profit</t>
        </is>
      </c>
      <c r="N23" s="9" t="inlineStr"/>
    </row>
    <row r="24">
      <c r="A24" s="9" t="n">
        <v>20</v>
      </c>
      <c r="B24" s="9" t="inlineStr">
        <is>
          <t>segment_note</t>
        </is>
      </c>
      <c r="C24" s="9" t="inlineStr">
        <is>
          <t>2.1</t>
        </is>
      </c>
      <c r="D24" s="9" t="inlineStr">
        <is>
          <t>Trading profit/(loss) :: Supermarkets Non-RSA</t>
        </is>
      </c>
      <c r="E24" s="9" t="inlineStr">
        <is>
          <t>FY2025</t>
        </is>
      </c>
      <c r="F24" s="9" t="inlineStr">
        <is>
          <t>as_reported</t>
        </is>
      </c>
      <c r="G24" s="10" t="n">
        <v>644</v>
      </c>
      <c r="H24" s="9" t="inlineStr">
        <is>
          <t>millions</t>
        </is>
      </c>
      <c r="I24" s="9" t="inlineStr">
        <is>
          <t>currency</t>
        </is>
      </c>
      <c r="J24" s="9" t="inlineStr">
        <is>
          <t>ZAR</t>
        </is>
      </c>
      <c r="K24" s="11" t="n"/>
      <c r="L24" s="11" t="n"/>
      <c r="M24" s="9" t="inlineStr">
        <is>
          <t>segment_trading_profit</t>
        </is>
      </c>
      <c r="N24" s="9" t="inlineStr"/>
    </row>
    <row r="25">
      <c r="A25" s="9" t="n">
        <v>21</v>
      </c>
      <c r="B25" s="9" t="inlineStr">
        <is>
          <t>segment_note</t>
        </is>
      </c>
      <c r="C25" s="9" t="inlineStr">
        <is>
          <t>2.1</t>
        </is>
      </c>
      <c r="D25" s="9" t="inlineStr">
        <is>
          <t>Trading profit/(loss) :: Other operating segments</t>
        </is>
      </c>
      <c r="E25" s="9" t="inlineStr">
        <is>
          <t>FY2025</t>
        </is>
      </c>
      <c r="F25" s="9" t="inlineStr">
        <is>
          <t>as_reported</t>
        </is>
      </c>
      <c r="G25" s="10" t="n">
        <v>652</v>
      </c>
      <c r="H25" s="9" t="inlineStr">
        <is>
          <t>millions</t>
        </is>
      </c>
      <c r="I25" s="9" t="inlineStr">
        <is>
          <t>currency</t>
        </is>
      </c>
      <c r="J25" s="9" t="inlineStr">
        <is>
          <t>ZAR</t>
        </is>
      </c>
      <c r="K25" s="11" t="n"/>
      <c r="L25" s="11" t="n"/>
      <c r="M25" s="9" t="inlineStr">
        <is>
          <t>segment_trading_profit</t>
        </is>
      </c>
      <c r="N25" s="9" t="inlineStr"/>
    </row>
    <row r="26">
      <c r="A26" s="9" t="n">
        <v>22</v>
      </c>
      <c r="B26" s="9" t="inlineStr">
        <is>
          <t>segment_note</t>
        </is>
      </c>
      <c r="C26" s="9" t="inlineStr">
        <is>
          <t>2.1</t>
        </is>
      </c>
      <c r="D26" s="9" t="inlineStr">
        <is>
          <t>Trading profit/(loss) :: Total operating segments</t>
        </is>
      </c>
      <c r="E26" s="9" t="inlineStr">
        <is>
          <t>FY2025</t>
        </is>
      </c>
      <c r="F26" s="9" t="inlineStr">
        <is>
          <t>as_reported</t>
        </is>
      </c>
      <c r="G26" s="10" t="n">
        <v>15200</v>
      </c>
      <c r="H26" s="9" t="inlineStr">
        <is>
          <t>millions</t>
        </is>
      </c>
      <c r="I26" s="9" t="inlineStr">
        <is>
          <t>currency</t>
        </is>
      </c>
      <c r="J26" s="9" t="inlineStr">
        <is>
          <t>ZAR</t>
        </is>
      </c>
      <c r="K26" s="11" t="n"/>
      <c r="L26" s="11" t="n"/>
      <c r="M26" s="9" t="inlineStr">
        <is>
          <t>segment_trading_profit</t>
        </is>
      </c>
      <c r="N26" s="9" t="inlineStr"/>
    </row>
    <row r="27">
      <c r="A27" s="9" t="n">
        <v>23</v>
      </c>
      <c r="B27" s="9" t="inlineStr">
        <is>
          <t>segment_note</t>
        </is>
      </c>
      <c r="C27" s="9" t="inlineStr">
        <is>
          <t>2.1</t>
        </is>
      </c>
      <c r="D27" s="9" t="inlineStr">
        <is>
          <t>Trading profit/(loss) :: Hyperinflation effect and other reconciling items</t>
        </is>
      </c>
      <c r="E27" s="9" t="inlineStr">
        <is>
          <t>FY2025</t>
        </is>
      </c>
      <c r="F27" s="9" t="inlineStr">
        <is>
          <t>as_reported</t>
        </is>
      </c>
      <c r="G27" s="10" t="n">
        <v>-249</v>
      </c>
      <c r="H27" s="9" t="inlineStr">
        <is>
          <t>millions</t>
        </is>
      </c>
      <c r="I27" s="9" t="inlineStr">
        <is>
          <t>currency</t>
        </is>
      </c>
      <c r="J27" s="9" t="inlineStr">
        <is>
          <t>ZAR</t>
        </is>
      </c>
      <c r="K27" s="11" t="n"/>
      <c r="L27" s="11" t="n"/>
      <c r="M27" s="9" t="inlineStr">
        <is>
          <t>segment_trading_profit</t>
        </is>
      </c>
      <c r="N27" s="9" t="inlineStr">
        <is>
          <t>RECONCILING COLUMN - segments do NOT sum directly to consolidated. M5.7's rule must account for this</t>
        </is>
      </c>
    </row>
    <row r="28">
      <c r="A28" s="9" t="n">
        <v>24</v>
      </c>
      <c r="B28" s="9" t="inlineStr">
        <is>
          <t>segment_note</t>
        </is>
      </c>
      <c r="C28" s="9" t="inlineStr">
        <is>
          <t>2.1</t>
        </is>
      </c>
      <c r="D28" s="9" t="inlineStr">
        <is>
          <t>Trading profit/(loss) :: Consolidated</t>
        </is>
      </c>
      <c r="E28" s="9" t="inlineStr">
        <is>
          <t>FY2025</t>
        </is>
      </c>
      <c r="F28" s="9" t="inlineStr">
        <is>
          <t>as_reported</t>
        </is>
      </c>
      <c r="G28" s="10" t="n">
        <v>14951</v>
      </c>
      <c r="H28" s="9" t="inlineStr">
        <is>
          <t>millions</t>
        </is>
      </c>
      <c r="I28" s="9" t="inlineStr">
        <is>
          <t>currency</t>
        </is>
      </c>
      <c r="J28" s="9" t="inlineStr">
        <is>
          <t>ZAR</t>
        </is>
      </c>
      <c r="K28" s="11" t="n"/>
      <c r="L28" s="11" t="n"/>
      <c r="M28" s="9" t="inlineStr">
        <is>
          <t>segment_trading_profit</t>
        </is>
      </c>
      <c r="N28" s="9" t="inlineStr"/>
    </row>
    <row r="29">
      <c r="A29" s="9" t="n">
        <v>25</v>
      </c>
      <c r="B29" s="9" t="inlineStr">
        <is>
          <t>segment_note</t>
        </is>
      </c>
      <c r="C29" s="9" t="inlineStr">
        <is>
          <t>2.1</t>
        </is>
      </c>
      <c r="D29" s="9" t="inlineStr">
        <is>
          <t>Interest revenue included in trading profit :: Supermarkets RSA</t>
        </is>
      </c>
      <c r="E29" s="9" t="inlineStr">
        <is>
          <t>FY2025</t>
        </is>
      </c>
      <c r="F29" s="9" t="inlineStr">
        <is>
          <t>as_reported</t>
        </is>
      </c>
      <c r="G29" s="10" t="n">
        <v>93</v>
      </c>
      <c r="H29" s="9" t="inlineStr">
        <is>
          <t>millions</t>
        </is>
      </c>
      <c r="I29" s="9" t="inlineStr">
        <is>
          <t>currency</t>
        </is>
      </c>
      <c r="J29" s="9" t="inlineStr">
        <is>
          <t>ZAR</t>
        </is>
      </c>
      <c r="K29" s="11" t="n"/>
      <c r="L29" s="11" t="n"/>
      <c r="M29" s="9" t="inlineStr">
        <is>
          <t>segment_interest_revenue</t>
        </is>
      </c>
      <c r="N29" s="9" t="inlineStr"/>
    </row>
    <row r="30">
      <c r="A30" s="9" t="n">
        <v>26</v>
      </c>
      <c r="B30" s="9" t="inlineStr">
        <is>
          <t>segment_note</t>
        </is>
      </c>
      <c r="C30" s="9" t="inlineStr">
        <is>
          <t>2.1</t>
        </is>
      </c>
      <c r="D30" s="9" t="inlineStr">
        <is>
          <t>Interest revenue included in trading profit :: Supermarkets Non-RSA</t>
        </is>
      </c>
      <c r="E30" s="9" t="inlineStr">
        <is>
          <t>FY2025</t>
        </is>
      </c>
      <c r="F30" s="9" t="inlineStr">
        <is>
          <t>as_reported</t>
        </is>
      </c>
      <c r="G30" s="10" t="n">
        <v>63</v>
      </c>
      <c r="H30" s="9" t="inlineStr">
        <is>
          <t>millions</t>
        </is>
      </c>
      <c r="I30" s="9" t="inlineStr">
        <is>
          <t>currency</t>
        </is>
      </c>
      <c r="J30" s="9" t="inlineStr">
        <is>
          <t>ZAR</t>
        </is>
      </c>
      <c r="K30" s="11" t="n"/>
      <c r="L30" s="11" t="n"/>
      <c r="M30" s="9" t="inlineStr">
        <is>
          <t>segment_interest_revenue</t>
        </is>
      </c>
      <c r="N30" s="9" t="inlineStr"/>
    </row>
    <row r="31">
      <c r="A31" s="9" t="n">
        <v>27</v>
      </c>
      <c r="B31" s="9" t="inlineStr">
        <is>
          <t>segment_note</t>
        </is>
      </c>
      <c r="C31" s="9" t="inlineStr">
        <is>
          <t>2.1</t>
        </is>
      </c>
      <c r="D31" s="9" t="inlineStr">
        <is>
          <t>Interest revenue included in trading profit :: Other operating segments</t>
        </is>
      </c>
      <c r="E31" s="9" t="inlineStr">
        <is>
          <t>FY2025</t>
        </is>
      </c>
      <c r="F31" s="9" t="inlineStr">
        <is>
          <t>as_reported</t>
        </is>
      </c>
      <c r="G31" s="10" t="n">
        <v>62</v>
      </c>
      <c r="H31" s="9" t="inlineStr">
        <is>
          <t>millions</t>
        </is>
      </c>
      <c r="I31" s="9" t="inlineStr">
        <is>
          <t>currency</t>
        </is>
      </c>
      <c r="J31" s="9" t="inlineStr">
        <is>
          <t>ZAR</t>
        </is>
      </c>
      <c r="K31" s="11" t="n"/>
      <c r="L31" s="11" t="n"/>
      <c r="M31" s="9" t="inlineStr">
        <is>
          <t>segment_interest_revenue</t>
        </is>
      </c>
      <c r="N31" s="9" t="inlineStr"/>
    </row>
    <row r="32">
      <c r="A32" s="9" t="n">
        <v>28</v>
      </c>
      <c r="B32" s="9" t="inlineStr">
        <is>
          <t>segment_note</t>
        </is>
      </c>
      <c r="C32" s="9" t="inlineStr">
        <is>
          <t>2.1</t>
        </is>
      </c>
      <c r="D32" s="9" t="inlineStr">
        <is>
          <t>Interest revenue included in trading profit :: Total operating segments</t>
        </is>
      </c>
      <c r="E32" s="9" t="inlineStr">
        <is>
          <t>FY2025</t>
        </is>
      </c>
      <c r="F32" s="9" t="inlineStr">
        <is>
          <t>as_reported</t>
        </is>
      </c>
      <c r="G32" s="10" t="n">
        <v>218</v>
      </c>
      <c r="H32" s="9" t="inlineStr">
        <is>
          <t>millions</t>
        </is>
      </c>
      <c r="I32" s="9" t="inlineStr">
        <is>
          <t>currency</t>
        </is>
      </c>
      <c r="J32" s="9" t="inlineStr">
        <is>
          <t>ZAR</t>
        </is>
      </c>
      <c r="K32" s="11" t="n"/>
      <c r="L32" s="11" t="n"/>
      <c r="M32" s="9" t="inlineStr">
        <is>
          <t>segment_interest_revenue</t>
        </is>
      </c>
      <c r="N32" s="9" t="inlineStr"/>
    </row>
    <row r="33">
      <c r="A33" s="9" t="n">
        <v>29</v>
      </c>
      <c r="B33" s="9" t="inlineStr">
        <is>
          <t>segment_note</t>
        </is>
      </c>
      <c r="C33" s="9" t="inlineStr">
        <is>
          <t>2.1</t>
        </is>
      </c>
      <c r="D33" s="9" t="inlineStr">
        <is>
          <t>Interest revenue included in trading profit :: Hyperinflation effect and other reconciling items</t>
        </is>
      </c>
      <c r="E33" s="9" t="inlineStr">
        <is>
          <t>FY2025</t>
        </is>
      </c>
      <c r="F33" s="9" t="inlineStr">
        <is>
          <t>as_reported</t>
        </is>
      </c>
      <c r="G33" s="10" t="n">
        <v>0</v>
      </c>
      <c r="H33" s="9" t="inlineStr">
        <is>
          <t>millions</t>
        </is>
      </c>
      <c r="I33" s="9" t="inlineStr">
        <is>
          <t>currency</t>
        </is>
      </c>
      <c r="J33" s="9" t="inlineStr">
        <is>
          <t>ZAR</t>
        </is>
      </c>
      <c r="K33" s="11" t="n"/>
      <c r="L33" s="11" t="n"/>
      <c r="M33" s="9" t="inlineStr">
        <is>
          <t>segment_interest_revenue</t>
        </is>
      </c>
      <c r="N33" s="9" t="inlineStr">
        <is>
          <t>RECONCILING COLUMN - segments do NOT sum directly to consolidated. M5.7's rule must account for this</t>
        </is>
      </c>
    </row>
    <row r="34">
      <c r="A34" s="9" t="n">
        <v>30</v>
      </c>
      <c r="B34" s="9" t="inlineStr">
        <is>
          <t>segment_note</t>
        </is>
      </c>
      <c r="C34" s="9" t="inlineStr">
        <is>
          <t>2.1</t>
        </is>
      </c>
      <c r="D34" s="9" t="inlineStr">
        <is>
          <t>Interest revenue included in trading profit :: Consolidated</t>
        </is>
      </c>
      <c r="E34" s="9" t="inlineStr">
        <is>
          <t>FY2025</t>
        </is>
      </c>
      <c r="F34" s="9" t="inlineStr">
        <is>
          <t>as_reported</t>
        </is>
      </c>
      <c r="G34" s="10" t="n">
        <v>218</v>
      </c>
      <c r="H34" s="9" t="inlineStr">
        <is>
          <t>millions</t>
        </is>
      </c>
      <c r="I34" s="9" t="inlineStr">
        <is>
          <t>currency</t>
        </is>
      </c>
      <c r="J34" s="9" t="inlineStr">
        <is>
          <t>ZAR</t>
        </is>
      </c>
      <c r="K34" s="11" t="n"/>
      <c r="L34" s="11" t="n"/>
      <c r="M34" s="9" t="inlineStr">
        <is>
          <t>segment_interest_revenue</t>
        </is>
      </c>
      <c r="N34" s="9" t="inlineStr"/>
    </row>
    <row r="35">
      <c r="A35" s="9" t="n">
        <v>31</v>
      </c>
      <c r="B35" s="9" t="inlineStr">
        <is>
          <t>segment_note</t>
        </is>
      </c>
      <c r="C35" s="9" t="inlineStr">
        <is>
          <t>2.1</t>
        </is>
      </c>
      <c r="D35" s="9" t="inlineStr">
        <is>
          <t>Depreciation and amortisation :: Supermarkets RSA</t>
        </is>
      </c>
      <c r="E35" s="9" t="inlineStr">
        <is>
          <t>FY2025</t>
        </is>
      </c>
      <c r="F35" s="9" t="inlineStr">
        <is>
          <t>as_reported</t>
        </is>
      </c>
      <c r="G35" s="10" t="n">
        <v>8156</v>
      </c>
      <c r="H35" s="9" t="inlineStr">
        <is>
          <t>millions</t>
        </is>
      </c>
      <c r="I35" s="9" t="inlineStr">
        <is>
          <t>currency</t>
        </is>
      </c>
      <c r="J35" s="9" t="inlineStr">
        <is>
          <t>ZAR</t>
        </is>
      </c>
      <c r="K35" s="11" t="n"/>
      <c r="L35" s="11" t="n"/>
      <c r="M35" s="9" t="inlineStr">
        <is>
          <t>segment_depreciation_amortisation</t>
        </is>
      </c>
      <c r="N35" s="9" t="inlineStr"/>
    </row>
    <row r="36">
      <c r="A36" s="9" t="n">
        <v>32</v>
      </c>
      <c r="B36" s="9" t="inlineStr">
        <is>
          <t>segment_note</t>
        </is>
      </c>
      <c r="C36" s="9" t="inlineStr">
        <is>
          <t>2.1</t>
        </is>
      </c>
      <c r="D36" s="9" t="inlineStr">
        <is>
          <t>Depreciation and amortisation :: Supermarkets Non-RSA</t>
        </is>
      </c>
      <c r="E36" s="9" t="inlineStr">
        <is>
          <t>FY2025</t>
        </is>
      </c>
      <c r="F36" s="9" t="inlineStr">
        <is>
          <t>as_reported</t>
        </is>
      </c>
      <c r="G36" s="10" t="n">
        <v>755</v>
      </c>
      <c r="H36" s="9" t="inlineStr">
        <is>
          <t>millions</t>
        </is>
      </c>
      <c r="I36" s="9" t="inlineStr">
        <is>
          <t>currency</t>
        </is>
      </c>
      <c r="J36" s="9" t="inlineStr">
        <is>
          <t>ZAR</t>
        </is>
      </c>
      <c r="K36" s="11" t="n"/>
      <c r="L36" s="11" t="n"/>
      <c r="M36" s="9" t="inlineStr">
        <is>
          <t>segment_depreciation_amortisation</t>
        </is>
      </c>
      <c r="N36" s="9" t="inlineStr"/>
    </row>
    <row r="37">
      <c r="A37" s="9" t="n">
        <v>33</v>
      </c>
      <c r="B37" s="9" t="inlineStr">
        <is>
          <t>segment_note</t>
        </is>
      </c>
      <c r="C37" s="9" t="inlineStr">
        <is>
          <t>2.1</t>
        </is>
      </c>
      <c r="D37" s="9" t="inlineStr">
        <is>
          <t>Depreciation and amortisation :: Other operating segments</t>
        </is>
      </c>
      <c r="E37" s="9" t="inlineStr">
        <is>
          <t>FY2025</t>
        </is>
      </c>
      <c r="F37" s="9" t="inlineStr">
        <is>
          <t>as_reported</t>
        </is>
      </c>
      <c r="G37" s="10" t="n">
        <v>133</v>
      </c>
      <c r="H37" s="9" t="inlineStr">
        <is>
          <t>millions</t>
        </is>
      </c>
      <c r="I37" s="9" t="inlineStr">
        <is>
          <t>currency</t>
        </is>
      </c>
      <c r="J37" s="9" t="inlineStr">
        <is>
          <t>ZAR</t>
        </is>
      </c>
      <c r="K37" s="11" t="n"/>
      <c r="L37" s="11" t="n"/>
      <c r="M37" s="9" t="inlineStr">
        <is>
          <t>segment_depreciation_amortisation</t>
        </is>
      </c>
      <c r="N37" s="9" t="inlineStr"/>
    </row>
    <row r="38">
      <c r="A38" s="9" t="n">
        <v>34</v>
      </c>
      <c r="B38" s="9" t="inlineStr">
        <is>
          <t>segment_note</t>
        </is>
      </c>
      <c r="C38" s="9" t="inlineStr">
        <is>
          <t>2.1</t>
        </is>
      </c>
      <c r="D38" s="9" t="inlineStr">
        <is>
          <t>Depreciation and amortisation :: Total operating segments</t>
        </is>
      </c>
      <c r="E38" s="9" t="inlineStr">
        <is>
          <t>FY2025</t>
        </is>
      </c>
      <c r="F38" s="9" t="inlineStr">
        <is>
          <t>as_reported</t>
        </is>
      </c>
      <c r="G38" s="10" t="n">
        <v>9044</v>
      </c>
      <c r="H38" s="9" t="inlineStr">
        <is>
          <t>millions</t>
        </is>
      </c>
      <c r="I38" s="9" t="inlineStr">
        <is>
          <t>currency</t>
        </is>
      </c>
      <c r="J38" s="9" t="inlineStr">
        <is>
          <t>ZAR</t>
        </is>
      </c>
      <c r="K38" s="11" t="n"/>
      <c r="L38" s="11" t="n"/>
      <c r="M38" s="9" t="inlineStr">
        <is>
          <t>segment_depreciation_amortisation</t>
        </is>
      </c>
      <c r="N38" s="9" t="inlineStr"/>
    </row>
    <row r="39">
      <c r="A39" s="9" t="n">
        <v>35</v>
      </c>
      <c r="B39" s="9" t="inlineStr">
        <is>
          <t>segment_note</t>
        </is>
      </c>
      <c r="C39" s="9" t="inlineStr">
        <is>
          <t>2.1</t>
        </is>
      </c>
      <c r="D39" s="9" t="inlineStr">
        <is>
          <t>Depreciation and amortisation :: Hyperinflation effect and other reconciling items</t>
        </is>
      </c>
      <c r="E39" s="9" t="inlineStr">
        <is>
          <t>FY2025</t>
        </is>
      </c>
      <c r="F39" s="9" t="inlineStr">
        <is>
          <t>as_reported</t>
        </is>
      </c>
      <c r="G39" s="10" t="n">
        <v>23</v>
      </c>
      <c r="H39" s="9" t="inlineStr">
        <is>
          <t>millions</t>
        </is>
      </c>
      <c r="I39" s="9" t="inlineStr">
        <is>
          <t>currency</t>
        </is>
      </c>
      <c r="J39" s="9" t="inlineStr">
        <is>
          <t>ZAR</t>
        </is>
      </c>
      <c r="K39" s="11" t="n"/>
      <c r="L39" s="11" t="n"/>
      <c r="M39" s="9" t="inlineStr">
        <is>
          <t>segment_depreciation_amortisation</t>
        </is>
      </c>
      <c r="N39" s="9" t="inlineStr">
        <is>
          <t>RECONCILING COLUMN - segments do NOT sum directly to consolidated. M5.7's rule must account for this</t>
        </is>
      </c>
    </row>
    <row r="40">
      <c r="A40" s="9" t="n">
        <v>36</v>
      </c>
      <c r="B40" s="9" t="inlineStr">
        <is>
          <t>segment_note</t>
        </is>
      </c>
      <c r="C40" s="9" t="inlineStr">
        <is>
          <t>2.1</t>
        </is>
      </c>
      <c r="D40" s="9" t="inlineStr">
        <is>
          <t>Depreciation and amortisation :: Consolidated</t>
        </is>
      </c>
      <c r="E40" s="9" t="inlineStr">
        <is>
          <t>FY2025</t>
        </is>
      </c>
      <c r="F40" s="9" t="inlineStr">
        <is>
          <t>as_reported</t>
        </is>
      </c>
      <c r="G40" s="10" t="n">
        <v>9067</v>
      </c>
      <c r="H40" s="9" t="inlineStr">
        <is>
          <t>millions</t>
        </is>
      </c>
      <c r="I40" s="9" t="inlineStr">
        <is>
          <t>currency</t>
        </is>
      </c>
      <c r="J40" s="9" t="inlineStr">
        <is>
          <t>ZAR</t>
        </is>
      </c>
      <c r="K40" s="11" t="n"/>
      <c r="L40" s="11" t="n"/>
      <c r="M40" s="9" t="inlineStr">
        <is>
          <t>segment_depreciation_amortisation</t>
        </is>
      </c>
      <c r="N40" s="9" t="inlineStr"/>
    </row>
    <row r="41">
      <c r="A41" s="9" t="n">
        <v>37</v>
      </c>
      <c r="B41" s="9" t="inlineStr">
        <is>
          <t>segment_note</t>
        </is>
      </c>
      <c r="C41" s="9" t="inlineStr">
        <is>
          <t>2.1</t>
        </is>
      </c>
      <c r="D41" s="9" t="inlineStr">
        <is>
          <t>Total assets :: Supermarkets RSA</t>
        </is>
      </c>
      <c r="E41" s="9" t="inlineStr">
        <is>
          <t>FY2025</t>
        </is>
      </c>
      <c r="F41" s="9" t="inlineStr">
        <is>
          <t>as_reported</t>
        </is>
      </c>
      <c r="G41" s="10" t="n">
        <v>99765</v>
      </c>
      <c r="H41" s="9" t="inlineStr">
        <is>
          <t>millions</t>
        </is>
      </c>
      <c r="I41" s="9" t="inlineStr">
        <is>
          <t>currency</t>
        </is>
      </c>
      <c r="J41" s="9" t="inlineStr">
        <is>
          <t>ZAR</t>
        </is>
      </c>
      <c r="K41" s="11" t="n"/>
      <c r="L41" s="11" t="n"/>
      <c r="M41" s="9" t="inlineStr">
        <is>
          <t>segment_total_assets</t>
        </is>
      </c>
      <c r="N41" s="9" t="inlineStr"/>
    </row>
    <row r="42">
      <c r="A42" s="9" t="n">
        <v>38</v>
      </c>
      <c r="B42" s="9" t="inlineStr">
        <is>
          <t>segment_note</t>
        </is>
      </c>
      <c r="C42" s="9" t="inlineStr">
        <is>
          <t>2.1</t>
        </is>
      </c>
      <c r="D42" s="9" t="inlineStr">
        <is>
          <t>Total assets :: Supermarkets Non-RSA</t>
        </is>
      </c>
      <c r="E42" s="9" t="inlineStr">
        <is>
          <t>FY2025</t>
        </is>
      </c>
      <c r="F42" s="9" t="inlineStr">
        <is>
          <t>as_reported</t>
        </is>
      </c>
      <c r="G42" s="10" t="n">
        <v>11037</v>
      </c>
      <c r="H42" s="9" t="inlineStr">
        <is>
          <t>millions</t>
        </is>
      </c>
      <c r="I42" s="9" t="inlineStr">
        <is>
          <t>currency</t>
        </is>
      </c>
      <c r="J42" s="9" t="inlineStr">
        <is>
          <t>ZAR</t>
        </is>
      </c>
      <c r="K42" s="11" t="n"/>
      <c r="L42" s="11" t="n"/>
      <c r="M42" s="9" t="inlineStr">
        <is>
          <t>segment_total_assets</t>
        </is>
      </c>
      <c r="N42" s="9" t="inlineStr"/>
    </row>
    <row r="43">
      <c r="A43" s="9" t="n">
        <v>39</v>
      </c>
      <c r="B43" s="9" t="inlineStr">
        <is>
          <t>segment_note</t>
        </is>
      </c>
      <c r="C43" s="9" t="inlineStr">
        <is>
          <t>2.1</t>
        </is>
      </c>
      <c r="D43" s="9" t="inlineStr">
        <is>
          <t>Total assets :: Other operating segments</t>
        </is>
      </c>
      <c r="E43" s="9" t="inlineStr">
        <is>
          <t>FY2025</t>
        </is>
      </c>
      <c r="F43" s="9" t="inlineStr">
        <is>
          <t>as_reported</t>
        </is>
      </c>
      <c r="G43" s="10" t="n">
        <v>7264</v>
      </c>
      <c r="H43" s="9" t="inlineStr">
        <is>
          <t>millions</t>
        </is>
      </c>
      <c r="I43" s="9" t="inlineStr">
        <is>
          <t>currency</t>
        </is>
      </c>
      <c r="J43" s="9" t="inlineStr">
        <is>
          <t>ZAR</t>
        </is>
      </c>
      <c r="K43" s="11" t="n"/>
      <c r="L43" s="11" t="n"/>
      <c r="M43" s="9" t="inlineStr">
        <is>
          <t>segment_total_assets</t>
        </is>
      </c>
      <c r="N43" s="9" t="inlineStr"/>
    </row>
    <row r="44">
      <c r="A44" s="9" t="n">
        <v>40</v>
      </c>
      <c r="B44" s="9" t="inlineStr">
        <is>
          <t>segment_note</t>
        </is>
      </c>
      <c r="C44" s="9" t="inlineStr">
        <is>
          <t>2.1</t>
        </is>
      </c>
      <c r="D44" s="9" t="inlineStr">
        <is>
          <t>Total assets :: Total operating segments</t>
        </is>
      </c>
      <c r="E44" s="9" t="inlineStr">
        <is>
          <t>FY2025</t>
        </is>
      </c>
      <c r="F44" s="9" t="inlineStr">
        <is>
          <t>as_reported</t>
        </is>
      </c>
      <c r="G44" s="10" t="n">
        <v>118066</v>
      </c>
      <c r="H44" s="9" t="inlineStr">
        <is>
          <t>millions</t>
        </is>
      </c>
      <c r="I44" s="9" t="inlineStr">
        <is>
          <t>currency</t>
        </is>
      </c>
      <c r="J44" s="9" t="inlineStr">
        <is>
          <t>ZAR</t>
        </is>
      </c>
      <c r="K44" s="11" t="n"/>
      <c r="L44" s="11" t="n"/>
      <c r="M44" s="9" t="inlineStr">
        <is>
          <t>segment_total_assets</t>
        </is>
      </c>
      <c r="N44" s="9" t="inlineStr"/>
    </row>
    <row r="45">
      <c r="A45" s="9" t="n">
        <v>41</v>
      </c>
      <c r="B45" s="9" t="inlineStr">
        <is>
          <t>segment_note</t>
        </is>
      </c>
      <c r="C45" s="9" t="inlineStr">
        <is>
          <t>2.1</t>
        </is>
      </c>
      <c r="D45" s="9" t="inlineStr">
        <is>
          <t>Total assets :: Hyperinflation effect and other reconciling items</t>
        </is>
      </c>
      <c r="E45" s="9" t="inlineStr">
        <is>
          <t>FY2025</t>
        </is>
      </c>
      <c r="F45" s="9" t="inlineStr">
        <is>
          <t>as_reported</t>
        </is>
      </c>
      <c r="G45" s="10" t="n">
        <v>583</v>
      </c>
      <c r="H45" s="9" t="inlineStr">
        <is>
          <t>millions</t>
        </is>
      </c>
      <c r="I45" s="9" t="inlineStr">
        <is>
          <t>currency</t>
        </is>
      </c>
      <c r="J45" s="9" t="inlineStr">
        <is>
          <t>ZAR</t>
        </is>
      </c>
      <c r="K45" s="11" t="n"/>
      <c r="L45" s="11" t="n"/>
      <c r="M45" s="9" t="inlineStr">
        <is>
          <t>segment_total_assets</t>
        </is>
      </c>
      <c r="N45" s="9" t="inlineStr">
        <is>
          <t>RECONCILING COLUMN - segments do NOT sum directly to consolidated. M5.7's rule must account for this</t>
        </is>
      </c>
    </row>
    <row r="46">
      <c r="A46" s="9" t="n">
        <v>42</v>
      </c>
      <c r="B46" s="9" t="inlineStr">
        <is>
          <t>segment_note</t>
        </is>
      </c>
      <c r="C46" s="9" t="inlineStr">
        <is>
          <t>2.1</t>
        </is>
      </c>
      <c r="D46" s="9" t="inlineStr">
        <is>
          <t>Total assets :: Consolidated</t>
        </is>
      </c>
      <c r="E46" s="9" t="inlineStr">
        <is>
          <t>FY2025</t>
        </is>
      </c>
      <c r="F46" s="9" t="inlineStr">
        <is>
          <t>as_reported</t>
        </is>
      </c>
      <c r="G46" s="10" t="n">
        <v>118649</v>
      </c>
      <c r="H46" s="9" t="inlineStr">
        <is>
          <t>millions</t>
        </is>
      </c>
      <c r="I46" s="9" t="inlineStr">
        <is>
          <t>currency</t>
        </is>
      </c>
      <c r="J46" s="9" t="inlineStr">
        <is>
          <t>ZAR</t>
        </is>
      </c>
      <c r="K46" s="11" t="n"/>
      <c r="L46" s="11" t="n"/>
      <c r="M46" s="9" t="inlineStr">
        <is>
          <t>segment_total_assets</t>
        </is>
      </c>
      <c r="N46" s="9" t="inlineStr"/>
    </row>
  </sheetData>
  <autoFilter ref="A4:N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52" customWidth="1" min="4" max="4"/>
    <col width="9" customWidth="1" min="5" max="5"/>
    <col width="13" customWidth="1" min="6" max="6"/>
    <col width="16" customWidth="1" min="7" max="7"/>
    <col width="11" customWidth="1" min="8" max="8"/>
    <col width="10" customWidth="1" min="9" max="9"/>
    <col width="9" customWidth="1" min="10" max="10"/>
    <col width="8" customWidth="1" min="11" max="11"/>
    <col width="9" customWidth="1" min="12" max="12"/>
    <col width="30" customWidth="1" min="13" max="13"/>
    <col width="44" customWidth="1" min="14" max="14"/>
  </cols>
  <sheetData>
    <row r="1">
      <c r="A1" s="6" t="inlineStr">
        <is>
          <t>Note 45 - FY2024 comparatives restated for discontinued operations</t>
        </is>
      </c>
    </row>
    <row r="2">
      <c r="A2" s="7" t="inlineStr">
        <is>
          <t>Source: Shoprite Holdings Ltd, Annual Financial Statements 2025 (52 weeks ended 29 June 2025). Values pre-filled from the published statements — VERIFY each against the PDF, then fill 'page' and set 'verified' to Y.</t>
        </is>
      </c>
    </row>
    <row r="3">
      <c r="A3" s="12" t="inlineStr">
        <is>
          <t>THIS IS THE BITEMPORAL TEST CASE. Same company, same fiscal year, two correct values. The as_reported rows were true until the FY2025 AFS was published; the restated rows are true from then on. Note that 'Profit for the year' is UNCHANGED - the restatement reclassifies between continuing and discontinued, it does not change total profit.</t>
        </is>
      </c>
    </row>
    <row r="4">
      <c r="A4" s="8" t="inlineStr">
        <is>
          <t>row_id</t>
        </is>
      </c>
      <c r="B4" s="8" t="inlineStr">
        <is>
          <t>statement</t>
        </is>
      </c>
      <c r="C4" s="8" t="inlineStr">
        <is>
          <t>note_ref</t>
        </is>
      </c>
      <c r="D4" s="8" t="inlineStr">
        <is>
          <t>as_reported_label</t>
        </is>
      </c>
      <c r="E4" s="8" t="inlineStr">
        <is>
          <t>period</t>
        </is>
      </c>
      <c r="F4" s="8" t="inlineStr">
        <is>
          <t>basis</t>
        </is>
      </c>
      <c r="G4" s="8" t="inlineStr">
        <is>
          <t>value_as_printed</t>
        </is>
      </c>
      <c r="H4" s="8" t="inlineStr">
        <is>
          <t>scale</t>
        </is>
      </c>
      <c r="I4" s="8" t="inlineStr">
        <is>
          <t>unit</t>
        </is>
      </c>
      <c r="J4" s="8" t="inlineStr">
        <is>
          <t>currency</t>
        </is>
      </c>
      <c r="K4" s="8" t="inlineStr">
        <is>
          <t>page</t>
        </is>
      </c>
      <c r="L4" s="8" t="inlineStr">
        <is>
          <t>verified</t>
        </is>
      </c>
      <c r="M4" s="8" t="inlineStr">
        <is>
          <t>concept_suggestion</t>
        </is>
      </c>
      <c r="N4" s="8" t="inlineStr">
        <is>
          <t>notes</t>
        </is>
      </c>
    </row>
    <row r="5">
      <c r="A5" s="9" t="n">
        <v>1</v>
      </c>
      <c r="B5" s="9" t="inlineStr">
        <is>
          <t>income_statement</t>
        </is>
      </c>
      <c r="C5" s="9" t="inlineStr">
        <is>
          <t>45</t>
        </is>
      </c>
      <c r="D5" s="9" t="inlineStr">
        <is>
          <t>Revenue</t>
        </is>
      </c>
      <c r="E5" s="9" t="inlineStr">
        <is>
          <t>FY2024</t>
        </is>
      </c>
      <c r="F5" s="9" t="inlineStr">
        <is>
          <t>as_reported</t>
        </is>
      </c>
      <c r="G5" s="10" t="n">
        <v>246082</v>
      </c>
      <c r="H5" s="9" t="inlineStr">
        <is>
          <t>millions</t>
        </is>
      </c>
      <c r="I5" s="9" t="inlineStr">
        <is>
          <t>currency</t>
        </is>
      </c>
      <c r="J5" s="9" t="inlineStr">
        <is>
          <t>ZAR</t>
        </is>
      </c>
      <c r="K5" s="11" t="n"/>
      <c r="L5" s="11" t="n"/>
      <c r="M5" s="9" t="inlineStr">
        <is>
          <t>revenue</t>
        </is>
      </c>
      <c r="N5" s="9" t="inlineStr">
        <is>
          <t>PREVIOUSLY REPORTED in the FY2024 annual report - what Valora would have believed until Oct 2025</t>
        </is>
      </c>
    </row>
    <row r="6">
      <c r="A6" s="9" t="n">
        <v>2</v>
      </c>
      <c r="B6" s="9" t="inlineStr">
        <is>
          <t>income_statement</t>
        </is>
      </c>
      <c r="C6" s="9" t="inlineStr">
        <is>
          <t>45</t>
        </is>
      </c>
      <c r="D6" s="9" t="inlineStr">
        <is>
          <t>Revenue</t>
        </is>
      </c>
      <c r="E6" s="9" t="inlineStr">
        <is>
          <t>FY2024</t>
        </is>
      </c>
      <c r="F6" s="9" t="inlineStr">
        <is>
          <t>restated</t>
        </is>
      </c>
      <c r="G6" s="10" t="n">
        <v>236328</v>
      </c>
      <c r="H6" s="9" t="inlineStr">
        <is>
          <t>millions</t>
        </is>
      </c>
      <c r="I6" s="9" t="inlineStr">
        <is>
          <t>currency</t>
        </is>
      </c>
      <c r="J6" s="9" t="inlineStr">
        <is>
          <t>ZAR</t>
        </is>
      </c>
      <c r="K6" s="11" t="n"/>
      <c r="L6" s="11" t="n"/>
      <c r="M6" s="9" t="inlineStr">
        <is>
          <t>revenue</t>
        </is>
      </c>
      <c r="N6" s="9" t="inlineStr">
        <is>
          <t>RESTATED in the FY2025 annual report for discontinued operations - what Valora believes now</t>
        </is>
      </c>
    </row>
    <row r="7">
      <c r="A7" s="9" t="n">
        <v>3</v>
      </c>
      <c r="B7" s="9" t="inlineStr">
        <is>
          <t>income_statement</t>
        </is>
      </c>
      <c r="C7" s="9" t="inlineStr">
        <is>
          <t>45</t>
        </is>
      </c>
      <c r="D7" s="9" t="inlineStr">
        <is>
          <t>Sale of merchandise</t>
        </is>
      </c>
      <c r="E7" s="9" t="inlineStr">
        <is>
          <t>FY2024</t>
        </is>
      </c>
      <c r="F7" s="9" t="inlineStr">
        <is>
          <t>as_reported</t>
        </is>
      </c>
      <c r="G7" s="10" t="n">
        <v>240718</v>
      </c>
      <c r="H7" s="9" t="inlineStr">
        <is>
          <t>millions</t>
        </is>
      </c>
      <c r="I7" s="9" t="inlineStr">
        <is>
          <t>currency</t>
        </is>
      </c>
      <c r="J7" s="9" t="inlineStr">
        <is>
          <t>ZAR</t>
        </is>
      </c>
      <c r="K7" s="11" t="n"/>
      <c r="L7" s="11" t="n"/>
      <c r="M7" s="9" t="inlineStr">
        <is>
          <t>sale_of_merchandise</t>
        </is>
      </c>
      <c r="N7" s="9" t="inlineStr">
        <is>
          <t>PREVIOUSLY REPORTED in the FY2024 annual report - what Valora would have believed until Oct 2025</t>
        </is>
      </c>
    </row>
    <row r="8">
      <c r="A8" s="9" t="n">
        <v>4</v>
      </c>
      <c r="B8" s="9" t="inlineStr">
        <is>
          <t>income_statement</t>
        </is>
      </c>
      <c r="C8" s="9" t="inlineStr">
        <is>
          <t>45</t>
        </is>
      </c>
      <c r="D8" s="9" t="inlineStr">
        <is>
          <t>Sale of merchandise</t>
        </is>
      </c>
      <c r="E8" s="9" t="inlineStr">
        <is>
          <t>FY2024</t>
        </is>
      </c>
      <c r="F8" s="9" t="inlineStr">
        <is>
          <t>restated</t>
        </is>
      </c>
      <c r="G8" s="10" t="n">
        <v>232088</v>
      </c>
      <c r="H8" s="9" t="inlineStr">
        <is>
          <t>millions</t>
        </is>
      </c>
      <c r="I8" s="9" t="inlineStr">
        <is>
          <t>currency</t>
        </is>
      </c>
      <c r="J8" s="9" t="inlineStr">
        <is>
          <t>ZAR</t>
        </is>
      </c>
      <c r="K8" s="11" t="n"/>
      <c r="L8" s="11" t="n"/>
      <c r="M8" s="9" t="inlineStr">
        <is>
          <t>sale_of_merchandise</t>
        </is>
      </c>
      <c r="N8" s="9" t="inlineStr">
        <is>
          <t>RESTATED in the FY2025 annual report for discontinued operations - what Valora believes now</t>
        </is>
      </c>
    </row>
    <row r="9">
      <c r="A9" s="9" t="n">
        <v>5</v>
      </c>
      <c r="B9" s="9" t="inlineStr">
        <is>
          <t>income_statement</t>
        </is>
      </c>
      <c r="C9" s="9" t="inlineStr">
        <is>
          <t>45</t>
        </is>
      </c>
      <c r="D9" s="9" t="inlineStr">
        <is>
          <t>Cost of sales</t>
        </is>
      </c>
      <c r="E9" s="9" t="inlineStr">
        <is>
          <t>FY2024</t>
        </is>
      </c>
      <c r="F9" s="9" t="inlineStr">
        <is>
          <t>as_reported</t>
        </is>
      </c>
      <c r="G9" s="10" t="n">
        <v>-182968</v>
      </c>
      <c r="H9" s="9" t="inlineStr">
        <is>
          <t>millions</t>
        </is>
      </c>
      <c r="I9" s="9" t="inlineStr">
        <is>
          <t>currency</t>
        </is>
      </c>
      <c r="J9" s="9" t="inlineStr">
        <is>
          <t>ZAR</t>
        </is>
      </c>
      <c r="K9" s="11" t="n"/>
      <c r="L9" s="11" t="n"/>
      <c r="M9" s="9" t="inlineStr">
        <is>
          <t>cost_of_sales</t>
        </is>
      </c>
      <c r="N9" s="9" t="inlineStr">
        <is>
          <t>PREVIOUSLY REPORTED in the FY2024 annual report - what Valora would have believed until Oct 2025</t>
        </is>
      </c>
    </row>
    <row r="10">
      <c r="A10" s="9" t="n">
        <v>6</v>
      </c>
      <c r="B10" s="9" t="inlineStr">
        <is>
          <t>income_statement</t>
        </is>
      </c>
      <c r="C10" s="9" t="inlineStr">
        <is>
          <t>45</t>
        </is>
      </c>
      <c r="D10" s="9" t="inlineStr">
        <is>
          <t>Cost of sales</t>
        </is>
      </c>
      <c r="E10" s="9" t="inlineStr">
        <is>
          <t>FY2024</t>
        </is>
      </c>
      <c r="F10" s="9" t="inlineStr">
        <is>
          <t>restated</t>
        </is>
      </c>
      <c r="G10" s="10" t="n">
        <v>-176549</v>
      </c>
      <c r="H10" s="9" t="inlineStr">
        <is>
          <t>millions</t>
        </is>
      </c>
      <c r="I10" s="9" t="inlineStr">
        <is>
          <t>currency</t>
        </is>
      </c>
      <c r="J10" s="9" t="inlineStr">
        <is>
          <t>ZAR</t>
        </is>
      </c>
      <c r="K10" s="11" t="n"/>
      <c r="L10" s="11" t="n"/>
      <c r="M10" s="9" t="inlineStr">
        <is>
          <t>cost_of_sales</t>
        </is>
      </c>
      <c r="N10" s="9" t="inlineStr">
        <is>
          <t>RESTATED in the FY2025 annual report for discontinued operations - what Valora believes now</t>
        </is>
      </c>
    </row>
    <row r="11">
      <c r="A11" s="9" t="n">
        <v>7</v>
      </c>
      <c r="B11" s="9" t="inlineStr">
        <is>
          <t>income_statement</t>
        </is>
      </c>
      <c r="C11" s="9" t="inlineStr">
        <is>
          <t>45</t>
        </is>
      </c>
      <c r="D11" s="9" t="inlineStr">
        <is>
          <t>Gross profit</t>
        </is>
      </c>
      <c r="E11" s="9" t="inlineStr">
        <is>
          <t>FY2024</t>
        </is>
      </c>
      <c r="F11" s="9" t="inlineStr">
        <is>
          <t>as_reported</t>
        </is>
      </c>
      <c r="G11" s="10" t="n">
        <v>57750</v>
      </c>
      <c r="H11" s="9" t="inlineStr">
        <is>
          <t>millions</t>
        </is>
      </c>
      <c r="I11" s="9" t="inlineStr">
        <is>
          <t>currency</t>
        </is>
      </c>
      <c r="J11" s="9" t="inlineStr">
        <is>
          <t>ZAR</t>
        </is>
      </c>
      <c r="K11" s="11" t="n"/>
      <c r="L11" s="11" t="n"/>
      <c r="M11" s="9" t="inlineStr">
        <is>
          <t>gross_profit</t>
        </is>
      </c>
      <c r="N11" s="9" t="inlineStr">
        <is>
          <t>PREVIOUSLY REPORTED in the FY2024 annual report - what Valora would have believed until Oct 2025</t>
        </is>
      </c>
    </row>
    <row r="12">
      <c r="A12" s="9" t="n">
        <v>8</v>
      </c>
      <c r="B12" s="9" t="inlineStr">
        <is>
          <t>income_statement</t>
        </is>
      </c>
      <c r="C12" s="9" t="inlineStr">
        <is>
          <t>45</t>
        </is>
      </c>
      <c r="D12" s="9" t="inlineStr">
        <is>
          <t>Gross profit</t>
        </is>
      </c>
      <c r="E12" s="9" t="inlineStr">
        <is>
          <t>FY2024</t>
        </is>
      </c>
      <c r="F12" s="9" t="inlineStr">
        <is>
          <t>restated</t>
        </is>
      </c>
      <c r="G12" s="10" t="n">
        <v>55539</v>
      </c>
      <c r="H12" s="9" t="inlineStr">
        <is>
          <t>millions</t>
        </is>
      </c>
      <c r="I12" s="9" t="inlineStr">
        <is>
          <t>currency</t>
        </is>
      </c>
      <c r="J12" s="9" t="inlineStr">
        <is>
          <t>ZAR</t>
        </is>
      </c>
      <c r="K12" s="11" t="n"/>
      <c r="L12" s="11" t="n"/>
      <c r="M12" s="9" t="inlineStr">
        <is>
          <t>gross_profit</t>
        </is>
      </c>
      <c r="N12" s="9" t="inlineStr">
        <is>
          <t>RESTATED in the FY2025 annual report for discontinued operations - what Valora believes now</t>
        </is>
      </c>
    </row>
    <row r="13">
      <c r="A13" s="9" t="n">
        <v>9</v>
      </c>
      <c r="B13" s="9" t="inlineStr">
        <is>
          <t>income_statement</t>
        </is>
      </c>
      <c r="C13" s="9" t="inlineStr">
        <is>
          <t>45</t>
        </is>
      </c>
      <c r="D13" s="9" t="inlineStr">
        <is>
          <t>Trading profit</t>
        </is>
      </c>
      <c r="E13" s="9" t="inlineStr">
        <is>
          <t>FY2024</t>
        </is>
      </c>
      <c r="F13" s="9" t="inlineStr">
        <is>
          <t>as_reported</t>
        </is>
      </c>
      <c r="G13" s="10" t="n">
        <v>13399</v>
      </c>
      <c r="H13" s="9" t="inlineStr">
        <is>
          <t>millions</t>
        </is>
      </c>
      <c r="I13" s="9" t="inlineStr">
        <is>
          <t>currency</t>
        </is>
      </c>
      <c r="J13" s="9" t="inlineStr">
        <is>
          <t>ZAR</t>
        </is>
      </c>
      <c r="K13" s="11" t="n"/>
      <c r="L13" s="11" t="n"/>
      <c r="M13" s="9" t="inlineStr">
        <is>
          <t>trading_profit</t>
        </is>
      </c>
      <c r="N13" s="9" t="inlineStr">
        <is>
          <t>PREVIOUSLY REPORTED in the FY2024 annual report - what Valora would have believed until Oct 2025</t>
        </is>
      </c>
    </row>
    <row r="14">
      <c r="A14" s="9" t="n">
        <v>10</v>
      </c>
      <c r="B14" s="9" t="inlineStr">
        <is>
          <t>income_statement</t>
        </is>
      </c>
      <c r="C14" s="9" t="inlineStr">
        <is>
          <t>45</t>
        </is>
      </c>
      <c r="D14" s="9" t="inlineStr">
        <is>
          <t>Trading profit</t>
        </is>
      </c>
      <c r="E14" s="9" t="inlineStr">
        <is>
          <t>FY2024</t>
        </is>
      </c>
      <c r="F14" s="9" t="inlineStr">
        <is>
          <t>restated</t>
        </is>
      </c>
      <c r="G14" s="10" t="n">
        <v>12818</v>
      </c>
      <c r="H14" s="9" t="inlineStr">
        <is>
          <t>millions</t>
        </is>
      </c>
      <c r="I14" s="9" t="inlineStr">
        <is>
          <t>currency</t>
        </is>
      </c>
      <c r="J14" s="9" t="inlineStr">
        <is>
          <t>ZAR</t>
        </is>
      </c>
      <c r="K14" s="11" t="n"/>
      <c r="L14" s="11" t="n"/>
      <c r="M14" s="9" t="inlineStr">
        <is>
          <t>trading_profit</t>
        </is>
      </c>
      <c r="N14" s="9" t="inlineStr">
        <is>
          <t>RESTATED in the FY2025 annual report for discontinued operations - what Valora believes now</t>
        </is>
      </c>
    </row>
    <row r="15">
      <c r="A15" s="9" t="n">
        <v>11</v>
      </c>
      <c r="B15" s="9" t="inlineStr">
        <is>
          <t>income_statement</t>
        </is>
      </c>
      <c r="C15" s="9" t="inlineStr">
        <is>
          <t>45</t>
        </is>
      </c>
      <c r="D15" s="9" t="inlineStr">
        <is>
          <t>Operating profit</t>
        </is>
      </c>
      <c r="E15" s="9" t="inlineStr">
        <is>
          <t>FY2024</t>
        </is>
      </c>
      <c r="F15" s="9" t="inlineStr">
        <is>
          <t>as_reported</t>
        </is>
      </c>
      <c r="G15" s="10" t="n">
        <v>13156</v>
      </c>
      <c r="H15" s="9" t="inlineStr">
        <is>
          <t>millions</t>
        </is>
      </c>
      <c r="I15" s="9" t="inlineStr">
        <is>
          <t>currency</t>
        </is>
      </c>
      <c r="J15" s="9" t="inlineStr">
        <is>
          <t>ZAR</t>
        </is>
      </c>
      <c r="K15" s="11" t="n"/>
      <c r="L15" s="11" t="n"/>
      <c r="M15" s="9" t="inlineStr">
        <is>
          <t>operating_profit</t>
        </is>
      </c>
      <c r="N15" s="9" t="inlineStr">
        <is>
          <t>PREVIOUSLY REPORTED in the FY2024 annual report - what Valora would have believed until Oct 2025</t>
        </is>
      </c>
    </row>
    <row r="16">
      <c r="A16" s="9" t="n">
        <v>12</v>
      </c>
      <c r="B16" s="9" t="inlineStr">
        <is>
          <t>income_statement</t>
        </is>
      </c>
      <c r="C16" s="9" t="inlineStr">
        <is>
          <t>45</t>
        </is>
      </c>
      <c r="D16" s="9" t="inlineStr">
        <is>
          <t>Operating profit</t>
        </is>
      </c>
      <c r="E16" s="9" t="inlineStr">
        <is>
          <t>FY2024</t>
        </is>
      </c>
      <c r="F16" s="9" t="inlineStr">
        <is>
          <t>restated</t>
        </is>
      </c>
      <c r="G16" s="10" t="n">
        <v>12662</v>
      </c>
      <c r="H16" s="9" t="inlineStr">
        <is>
          <t>millions</t>
        </is>
      </c>
      <c r="I16" s="9" t="inlineStr">
        <is>
          <t>currency</t>
        </is>
      </c>
      <c r="J16" s="9" t="inlineStr">
        <is>
          <t>ZAR</t>
        </is>
      </c>
      <c r="K16" s="11" t="n"/>
      <c r="L16" s="11" t="n"/>
      <c r="M16" s="9" t="inlineStr">
        <is>
          <t>operating_profit</t>
        </is>
      </c>
      <c r="N16" s="9" t="inlineStr">
        <is>
          <t>RESTATED in the FY2025 annual report for discontinued operations - what Valora believes now</t>
        </is>
      </c>
    </row>
    <row r="17">
      <c r="A17" s="9" t="n">
        <v>13</v>
      </c>
      <c r="B17" s="9" t="inlineStr">
        <is>
          <t>income_statement</t>
        </is>
      </c>
      <c r="C17" s="9" t="inlineStr">
        <is>
          <t>45</t>
        </is>
      </c>
      <c r="D17" s="9" t="inlineStr">
        <is>
          <t>Profit before income tax</t>
        </is>
      </c>
      <c r="E17" s="9" t="inlineStr">
        <is>
          <t>FY2024</t>
        </is>
      </c>
      <c r="F17" s="9" t="inlineStr">
        <is>
          <t>as_reported</t>
        </is>
      </c>
      <c r="G17" s="10" t="n">
        <v>9379</v>
      </c>
      <c r="H17" s="9" t="inlineStr">
        <is>
          <t>millions</t>
        </is>
      </c>
      <c r="I17" s="9" t="inlineStr">
        <is>
          <t>currency</t>
        </is>
      </c>
      <c r="J17" s="9" t="inlineStr">
        <is>
          <t>ZAR</t>
        </is>
      </c>
      <c r="K17" s="11" t="n"/>
      <c r="L17" s="11" t="n"/>
      <c r="M17" s="9" t="inlineStr">
        <is>
          <t>profit_before_income_tax</t>
        </is>
      </c>
      <c r="N17" s="9" t="inlineStr">
        <is>
          <t>PREVIOUSLY REPORTED in the FY2024 annual report - what Valora would have believed until Oct 2025</t>
        </is>
      </c>
    </row>
    <row r="18">
      <c r="A18" s="9" t="n">
        <v>14</v>
      </c>
      <c r="B18" s="9" t="inlineStr">
        <is>
          <t>income_statement</t>
        </is>
      </c>
      <c r="C18" s="9" t="inlineStr">
        <is>
          <t>45</t>
        </is>
      </c>
      <c r="D18" s="9" t="inlineStr">
        <is>
          <t>Profit before income tax</t>
        </is>
      </c>
      <c r="E18" s="9" t="inlineStr">
        <is>
          <t>FY2024</t>
        </is>
      </c>
      <c r="F18" s="9" t="inlineStr">
        <is>
          <t>restated</t>
        </is>
      </c>
      <c r="G18" s="10" t="n">
        <v>9026</v>
      </c>
      <c r="H18" s="9" t="inlineStr">
        <is>
          <t>millions</t>
        </is>
      </c>
      <c r="I18" s="9" t="inlineStr">
        <is>
          <t>currency</t>
        </is>
      </c>
      <c r="J18" s="9" t="inlineStr">
        <is>
          <t>ZAR</t>
        </is>
      </c>
      <c r="K18" s="11" t="n"/>
      <c r="L18" s="11" t="n"/>
      <c r="M18" s="9" t="inlineStr">
        <is>
          <t>profit_before_income_tax</t>
        </is>
      </c>
      <c r="N18" s="9" t="inlineStr">
        <is>
          <t>RESTATED in the FY2025 annual report for discontinued operations - what Valora believes now</t>
        </is>
      </c>
    </row>
    <row r="19">
      <c r="A19" s="9" t="n">
        <v>15</v>
      </c>
      <c r="B19" s="9" t="inlineStr">
        <is>
          <t>income_statement</t>
        </is>
      </c>
      <c r="C19" s="9" t="inlineStr">
        <is>
          <t>45</t>
        </is>
      </c>
      <c r="D19" s="9" t="inlineStr">
        <is>
          <t>Income tax expense</t>
        </is>
      </c>
      <c r="E19" s="9" t="inlineStr">
        <is>
          <t>FY2024</t>
        </is>
      </c>
      <c r="F19" s="9" t="inlineStr">
        <is>
          <t>as_reported</t>
        </is>
      </c>
      <c r="G19" s="10" t="n">
        <v>-2836</v>
      </c>
      <c r="H19" s="9" t="inlineStr">
        <is>
          <t>millions</t>
        </is>
      </c>
      <c r="I19" s="9" t="inlineStr">
        <is>
          <t>currency</t>
        </is>
      </c>
      <c r="J19" s="9" t="inlineStr">
        <is>
          <t>ZAR</t>
        </is>
      </c>
      <c r="K19" s="11" t="n"/>
      <c r="L19" s="11" t="n"/>
      <c r="M19" s="9" t="inlineStr">
        <is>
          <t>income_tax_expense</t>
        </is>
      </c>
      <c r="N19" s="9" t="inlineStr">
        <is>
          <t>PREVIOUSLY REPORTED in the FY2024 annual report - what Valora would have believed until Oct 2025</t>
        </is>
      </c>
    </row>
    <row r="20">
      <c r="A20" s="9" t="n">
        <v>16</v>
      </c>
      <c r="B20" s="9" t="inlineStr">
        <is>
          <t>income_statement</t>
        </is>
      </c>
      <c r="C20" s="9" t="inlineStr">
        <is>
          <t>45</t>
        </is>
      </c>
      <c r="D20" s="9" t="inlineStr">
        <is>
          <t>Income tax expense</t>
        </is>
      </c>
      <c r="E20" s="9" t="inlineStr">
        <is>
          <t>FY2024</t>
        </is>
      </c>
      <c r="F20" s="9" t="inlineStr">
        <is>
          <t>restated</t>
        </is>
      </c>
      <c r="G20" s="10" t="n">
        <v>-2805</v>
      </c>
      <c r="H20" s="9" t="inlineStr">
        <is>
          <t>millions</t>
        </is>
      </c>
      <c r="I20" s="9" t="inlineStr">
        <is>
          <t>currency</t>
        </is>
      </c>
      <c r="J20" s="9" t="inlineStr">
        <is>
          <t>ZAR</t>
        </is>
      </c>
      <c r="K20" s="11" t="n"/>
      <c r="L20" s="11" t="n"/>
      <c r="M20" s="9" t="inlineStr">
        <is>
          <t>income_tax_expense</t>
        </is>
      </c>
      <c r="N20" s="9" t="inlineStr">
        <is>
          <t>RESTATED in the FY2025 annual report for discontinued operations - what Valora believes now</t>
        </is>
      </c>
    </row>
    <row r="21">
      <c r="A21" s="9" t="n">
        <v>17</v>
      </c>
      <c r="B21" s="9" t="inlineStr">
        <is>
          <t>income_statement</t>
        </is>
      </c>
      <c r="C21" s="9" t="inlineStr">
        <is>
          <t>45</t>
        </is>
      </c>
      <c r="D21" s="9" t="inlineStr">
        <is>
          <t>Profit from continuing operations</t>
        </is>
      </c>
      <c r="E21" s="9" t="inlineStr">
        <is>
          <t>FY2024</t>
        </is>
      </c>
      <c r="F21" s="9" t="inlineStr">
        <is>
          <t>as_reported</t>
        </is>
      </c>
      <c r="G21" s="10" t="n">
        <v>6543</v>
      </c>
      <c r="H21" s="9" t="inlineStr">
        <is>
          <t>millions</t>
        </is>
      </c>
      <c r="I21" s="9" t="inlineStr">
        <is>
          <t>currency</t>
        </is>
      </c>
      <c r="J21" s="9" t="inlineStr">
        <is>
          <t>ZAR</t>
        </is>
      </c>
      <c r="K21" s="11" t="n"/>
      <c r="L21" s="11" t="n"/>
      <c r="M21" s="9" t="inlineStr">
        <is>
          <t>profit_from_continuing_operations</t>
        </is>
      </c>
      <c r="N21" s="9" t="inlineStr">
        <is>
          <t>PREVIOUSLY REPORTED in the FY2024 annual report - what Valora would have believed until Oct 2025</t>
        </is>
      </c>
    </row>
    <row r="22">
      <c r="A22" s="9" t="n">
        <v>18</v>
      </c>
      <c r="B22" s="9" t="inlineStr">
        <is>
          <t>income_statement</t>
        </is>
      </c>
      <c r="C22" s="9" t="inlineStr">
        <is>
          <t>45</t>
        </is>
      </c>
      <c r="D22" s="9" t="inlineStr">
        <is>
          <t>Profit from continuing operations</t>
        </is>
      </c>
      <c r="E22" s="9" t="inlineStr">
        <is>
          <t>FY2024</t>
        </is>
      </c>
      <c r="F22" s="9" t="inlineStr">
        <is>
          <t>restated</t>
        </is>
      </c>
      <c r="G22" s="10" t="n">
        <v>6221</v>
      </c>
      <c r="H22" s="9" t="inlineStr">
        <is>
          <t>millions</t>
        </is>
      </c>
      <c r="I22" s="9" t="inlineStr">
        <is>
          <t>currency</t>
        </is>
      </c>
      <c r="J22" s="9" t="inlineStr">
        <is>
          <t>ZAR</t>
        </is>
      </c>
      <c r="K22" s="11" t="n"/>
      <c r="L22" s="11" t="n"/>
      <c r="M22" s="9" t="inlineStr">
        <is>
          <t>profit_from_continuing_operations</t>
        </is>
      </c>
      <c r="N22" s="9" t="inlineStr">
        <is>
          <t>RESTATED in the FY2025 annual report for discontinued operations - what Valora believes now</t>
        </is>
      </c>
    </row>
    <row r="23">
      <c r="A23" s="9" t="n">
        <v>19</v>
      </c>
      <c r="B23" s="9" t="inlineStr">
        <is>
          <t>income_statement</t>
        </is>
      </c>
      <c r="C23" s="9" t="inlineStr">
        <is>
          <t>45</t>
        </is>
      </c>
      <c r="D23" s="9" t="inlineStr">
        <is>
          <t>Profit for the year</t>
        </is>
      </c>
      <c r="E23" s="9" t="inlineStr">
        <is>
          <t>FY2024</t>
        </is>
      </c>
      <c r="F23" s="9" t="inlineStr">
        <is>
          <t>as_reported</t>
        </is>
      </c>
      <c r="G23" s="10" t="n">
        <v>6221</v>
      </c>
      <c r="H23" s="9" t="inlineStr">
        <is>
          <t>millions</t>
        </is>
      </c>
      <c r="I23" s="9" t="inlineStr">
        <is>
          <t>currency</t>
        </is>
      </c>
      <c r="J23" s="9" t="inlineStr">
        <is>
          <t>ZAR</t>
        </is>
      </c>
      <c r="K23" s="11" t="n"/>
      <c r="L23" s="11" t="n"/>
      <c r="M23" s="9" t="inlineStr">
        <is>
          <t>profit_for_the_year</t>
        </is>
      </c>
      <c r="N23" s="9" t="inlineStr">
        <is>
          <t>PREVIOUSLY REPORTED in the FY2024 annual report - what Valora would have believed until Oct 2025</t>
        </is>
      </c>
    </row>
    <row r="24">
      <c r="A24" s="9" t="n">
        <v>20</v>
      </c>
      <c r="B24" s="9" t="inlineStr">
        <is>
          <t>income_statement</t>
        </is>
      </c>
      <c r="C24" s="9" t="inlineStr">
        <is>
          <t>45</t>
        </is>
      </c>
      <c r="D24" s="9" t="inlineStr">
        <is>
          <t>Profit for the year</t>
        </is>
      </c>
      <c r="E24" s="9" t="inlineStr">
        <is>
          <t>FY2024</t>
        </is>
      </c>
      <c r="F24" s="9" t="inlineStr">
        <is>
          <t>restated</t>
        </is>
      </c>
      <c r="G24" s="10" t="n">
        <v>6221</v>
      </c>
      <c r="H24" s="9" t="inlineStr">
        <is>
          <t>millions</t>
        </is>
      </c>
      <c r="I24" s="9" t="inlineStr">
        <is>
          <t>currency</t>
        </is>
      </c>
      <c r="J24" s="9" t="inlineStr">
        <is>
          <t>ZAR</t>
        </is>
      </c>
      <c r="K24" s="11" t="n"/>
      <c r="L24" s="11" t="n"/>
      <c r="M24" s="9" t="inlineStr">
        <is>
          <t>profit_for_the_year</t>
        </is>
      </c>
      <c r="N24" s="9" t="inlineStr">
        <is>
          <t>RESTATED in the FY2025 annual report for discontinued operations - what Valora believes now</t>
        </is>
      </c>
    </row>
  </sheetData>
  <autoFilter ref="A4:N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16" customWidth="1" min="3" max="3"/>
    <col width="16" customWidth="1" min="4" max="4"/>
    <col width="14" customWidth="1" min="5" max="5"/>
    <col width="10" customWidth="1" min="6" max="6"/>
    <col width="10" customWidth="1" min="7" max="7"/>
  </cols>
  <sheetData>
    <row r="1">
      <c r="A1" s="6" t="inlineStr">
        <is>
          <t>Validation checks - previews the M5 rule set</t>
        </is>
      </c>
    </row>
    <row r="2">
      <c r="A2" s="7" t="inlineStr">
        <is>
          <t>If any check is FAIL, a value was transcribed wrong. Fix it before this becomes golden dataset.</t>
        </is>
      </c>
    </row>
    <row r="4">
      <c r="A4" s="13" t="inlineStr">
        <is>
          <t>#</t>
        </is>
      </c>
      <c r="B4" s="13" t="inlineStr">
        <is>
          <t>Check</t>
        </is>
      </c>
      <c r="C4" s="13" t="inlineStr">
        <is>
          <t>Expected</t>
        </is>
      </c>
      <c r="D4" s="13" t="inlineStr">
        <is>
          <t>Computed</t>
        </is>
      </c>
      <c r="E4" s="13" t="inlineStr">
        <is>
          <t>Difference</t>
        </is>
      </c>
      <c r="F4" s="13" t="inlineStr">
        <is>
          <t>Result</t>
        </is>
      </c>
      <c r="G4" s="13" t="inlineStr">
        <is>
          <t>M5 rule</t>
        </is>
      </c>
    </row>
    <row r="5">
      <c r="A5" s="14" t="n">
        <v>1</v>
      </c>
      <c r="B5" s="14" t="inlineStr">
        <is>
          <t>Balance sheet balances (FY2025)</t>
        </is>
      </c>
      <c r="C5" s="15">
        <f>'BalanceSheet'!G49</f>
        <v/>
      </c>
      <c r="D5" s="15">
        <f>'BalanceSheet'!G59+'BalanceSheet'!G91</f>
        <v/>
      </c>
      <c r="E5" s="15">
        <f>C5-D5</f>
        <v/>
      </c>
      <c r="F5" s="16">
        <f>IF(ABS(E5)&lt;0.6,"PASS","FAIL")</f>
        <v/>
      </c>
      <c r="G5" s="14" t="inlineStr">
        <is>
          <t>5.3</t>
        </is>
      </c>
    </row>
    <row r="6">
      <c r="A6" s="14" t="n">
        <v>2</v>
      </c>
      <c r="B6" s="14" t="inlineStr">
        <is>
          <t>Balance sheet balances (FY2024)</t>
        </is>
      </c>
      <c r="C6" s="15">
        <f>'BalanceSheet'!G50</f>
        <v/>
      </c>
      <c r="D6" s="15">
        <f>'BalanceSheet'!G60+'BalanceSheet'!G92</f>
        <v/>
      </c>
      <c r="E6" s="15">
        <f>C6-D6</f>
        <v/>
      </c>
      <c r="F6" s="16">
        <f>IF(ABS(E6)&lt;0.6,"PASS","FAIL")</f>
        <v/>
      </c>
      <c r="G6" s="14" t="inlineStr">
        <is>
          <t>5.3</t>
        </is>
      </c>
    </row>
    <row r="7">
      <c r="A7" s="14" t="n">
        <v>3</v>
      </c>
      <c r="B7" s="14" t="inlineStr">
        <is>
          <t>Gross profit = sale of merchandise less cost of sales (FY2025)</t>
        </is>
      </c>
      <c r="C7" s="15">
        <f>'IncomeStatement'!G11</f>
        <v/>
      </c>
      <c r="D7" s="15">
        <f>'IncomeStatement'!G7+'IncomeStatement'!G9</f>
        <v/>
      </c>
      <c r="E7" s="15">
        <f>C7-D7</f>
        <v/>
      </c>
      <c r="F7" s="16">
        <f>IF(ABS(E7)&lt;0.6,"PASS","FAIL")</f>
        <v/>
      </c>
      <c r="G7" s="14" t="inlineStr">
        <is>
          <t>5.5</t>
        </is>
      </c>
    </row>
    <row r="8">
      <c r="A8" s="14" t="n">
        <v>4</v>
      </c>
      <c r="B8" s="14" t="inlineStr">
        <is>
          <t>Gross profit = sale of merchandise less cost of sales (FY2024)</t>
        </is>
      </c>
      <c r="C8" s="15">
        <f>'IncomeStatement'!G12</f>
        <v/>
      </c>
      <c r="D8" s="15">
        <f>'IncomeStatement'!G8+'IncomeStatement'!G10</f>
        <v/>
      </c>
      <c r="E8" s="15">
        <f>C8-D8</f>
        <v/>
      </c>
      <c r="F8" s="16">
        <f>IF(ABS(E8)&lt;0.6,"PASS","FAIL")</f>
        <v/>
      </c>
      <c r="G8" s="14" t="inlineStr">
        <is>
          <t>5.5</t>
        </is>
      </c>
    </row>
    <row r="9">
      <c r="A9" s="14" t="n">
        <v>5</v>
      </c>
      <c r="B9" s="14" t="inlineStr">
        <is>
          <t>Revenue = merchandise + alternative + interest (FY2025)</t>
        </is>
      </c>
      <c r="C9" s="15">
        <f>'IncomeStatement'!G5</f>
        <v/>
      </c>
      <c r="D9" s="15">
        <f>'IncomeStatement'!G7+'IncomeStatement'!G13+'IncomeStatement'!G15</f>
        <v/>
      </c>
      <c r="E9" s="15">
        <f>C9-D9</f>
        <v/>
      </c>
      <c r="F9" s="16">
        <f>IF(ABS(E9)&lt;0.6,"PASS","FAIL")</f>
        <v/>
      </c>
      <c r="G9" s="14" t="inlineStr">
        <is>
          <t>5.5</t>
        </is>
      </c>
    </row>
    <row r="10">
      <c r="A10" s="14" t="n">
        <v>6</v>
      </c>
      <c r="B10" s="14" t="inlineStr">
        <is>
          <t>Profit for the year = continuing + discontinued (FY2025)</t>
        </is>
      </c>
      <c r="C10" s="15">
        <f>'IncomeStatement'!G49</f>
        <v/>
      </c>
      <c r="D10" s="15">
        <f>'IncomeStatement'!G45+'IncomeStatement'!G47</f>
        <v/>
      </c>
      <c r="E10" s="15">
        <f>C10-D10</f>
        <v/>
      </c>
      <c r="F10" s="16">
        <f>IF(ABS(E10)&lt;0.6,"PASS","FAIL")</f>
        <v/>
      </c>
      <c r="G10" s="14" t="inlineStr">
        <is>
          <t>5.5</t>
        </is>
      </c>
    </row>
    <row r="11">
      <c r="A11" s="14" t="n">
        <v>7</v>
      </c>
      <c r="B11" s="14" t="inlineStr">
        <is>
          <t>Profit attributable: owners + NCI = profit for year (FY2025)</t>
        </is>
      </c>
      <c r="C11" s="15">
        <f>'IncomeStatement'!G49</f>
        <v/>
      </c>
      <c r="D11" s="15">
        <f>'IncomeStatement'!G51+'IncomeStatement'!G53</f>
        <v/>
      </c>
      <c r="E11" s="15">
        <f>C11-D11</f>
        <v/>
      </c>
      <c r="F11" s="16">
        <f>IF(ABS(E11)&lt;0.6,"PASS","FAIL")</f>
        <v/>
      </c>
      <c r="G11" s="14" t="inlineStr">
        <is>
          <t>5.5</t>
        </is>
      </c>
    </row>
    <row r="12">
      <c r="A12" s="14" t="n">
        <v>8</v>
      </c>
      <c r="B12" s="14" t="inlineStr">
        <is>
          <t>Cash flow ties: opening + movement + FX = closing (FY2025)</t>
        </is>
      </c>
      <c r="C12" s="15">
        <f>'CashFlow'!G85</f>
        <v/>
      </c>
      <c r="D12" s="15">
        <f>'CashFlow'!G81+'CashFlow'!G79+'CashFlow'!G83</f>
        <v/>
      </c>
      <c r="E12" s="15">
        <f>C12-D12</f>
        <v/>
      </c>
      <c r="F12" s="16">
        <f>IF(ABS(E12)&lt;0.6,"PASS","FAIL")</f>
        <v/>
      </c>
      <c r="G12" s="14" t="inlineStr">
        <is>
          <t>5.4</t>
        </is>
      </c>
    </row>
    <row r="13">
      <c r="A13" s="14" t="n">
        <v>9</v>
      </c>
      <c r="B13" s="14" t="inlineStr">
        <is>
          <t>Segments + reconciling = consolidated trading profit (FY2025)</t>
        </is>
      </c>
      <c r="C13" s="15">
        <f>'Segments'!G28</f>
        <v/>
      </c>
      <c r="D13" s="15">
        <f>'Segments'!G26+'Segments'!G27</f>
        <v/>
      </c>
      <c r="E13" s="15">
        <f>C13-D13</f>
        <v/>
      </c>
      <c r="F13" s="16">
        <f>IF(ABS(E13)&lt;0.6,"PASS","FAIL")</f>
        <v/>
      </c>
      <c r="G13" s="14" t="inlineStr">
        <is>
          <t>5.7</t>
        </is>
      </c>
    </row>
    <row r="14">
      <c r="A14" s="14" t="n">
        <v>10</v>
      </c>
      <c r="B14" s="14" t="inlineStr">
        <is>
          <t>Segments sum to total operating segments - revenue (FY2025)</t>
        </is>
      </c>
      <c r="C14" s="15">
        <f>'Segments'!G8</f>
        <v/>
      </c>
      <c r="D14" s="15">
        <f>'Segments'!G5+'Segments'!G6+'Segments'!G7</f>
        <v/>
      </c>
      <c r="E14" s="15">
        <f>C14-D14</f>
        <v/>
      </c>
      <c r="F14" s="16">
        <f>IF(ABS(E14)&lt;0.6,"PASS","FAIL")</f>
        <v/>
      </c>
      <c r="G14" s="14" t="inlineStr">
        <is>
          <t>5.7</t>
        </is>
      </c>
    </row>
    <row r="15">
      <c r="A15" s="14" t="n">
        <v>11</v>
      </c>
      <c r="B15" s="14" t="inlineStr">
        <is>
          <t>HEPS foots: headline earnings / weighted avg shares x 100 (FY2025)</t>
        </is>
      </c>
      <c r="C15" s="15">
        <f>'HEPS'!G56</f>
        <v/>
      </c>
      <c r="D15" s="15">
        <f>'HEPS'!G50/'HEPS'!G52*100000</f>
        <v/>
      </c>
      <c r="E15" s="15">
        <f>C15-D15</f>
        <v/>
      </c>
      <c r="F15" s="16">
        <f>IF(ABS(E15)&lt;0.6,"PASS","FAIL")</f>
        <v/>
      </c>
      <c r="G15" s="14" t="inlineStr">
        <is>
          <t>5.6</t>
        </is>
      </c>
    </row>
    <row r="16">
      <c r="A16" s="14" t="n">
        <v>12</v>
      </c>
      <c r="B16" s="14" t="inlineStr">
        <is>
          <t>Restatement: total profit unchanged by reclassification (FY2024)</t>
        </is>
      </c>
      <c r="C16" s="15">
        <f>'Restatement_N45'!G23</f>
        <v/>
      </c>
      <c r="D16" s="15">
        <f>'Restatement_N45'!G24</f>
        <v/>
      </c>
      <c r="E16" s="15">
        <f>C16-D16</f>
        <v/>
      </c>
      <c r="F16" s="16">
        <f>IF(ABS(E16)&lt;0.6,"PASS","FAIL")</f>
        <v/>
      </c>
      <c r="G16" s="14" t="inlineStr">
        <is>
          <t>5.9</t>
        </is>
      </c>
    </row>
    <row r="18">
      <c r="B18" s="7" t="inlineStr">
        <is>
          <t>Tolerance 0.6 absorbs the rounding inherent in figures presented in Rm. A real difference will be far larger.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56" customWidth="1" min="2" max="2"/>
    <col width="26" customWidth="1" min="3" max="3"/>
    <col width="64" customWidth="1" min="4" max="4"/>
    <col width="16" customWidth="1" min="5" max="5"/>
  </cols>
  <sheetData>
    <row r="1">
      <c r="A1" s="13" t="inlineStr">
        <is>
          <t>#</t>
        </is>
      </c>
      <c r="B1" s="13" t="inlineStr">
        <is>
          <t>Observation</t>
        </is>
      </c>
      <c r="C1" s="13" t="inlineStr">
        <is>
          <t>Where seen</t>
        </is>
      </c>
      <c r="D1" s="13" t="inlineStr">
        <is>
          <t>Why it matters for the taxonomy</t>
        </is>
      </c>
      <c r="E1" s="13" t="inlineStr">
        <is>
          <t>Decision needed?</t>
        </is>
      </c>
    </row>
    <row r="2">
      <c r="A2" s="14" t="n">
        <v>1</v>
      </c>
      <c r="B2" s="17" t="inlineStr">
        <is>
          <t>'Alternative revenue' was called 'other operating income' last year</t>
        </is>
      </c>
      <c r="C2" s="17" t="inlineStr">
        <is>
          <t>Income statement footnote 1</t>
        </is>
      </c>
      <c r="D2" s="17" t="inlineStr">
        <is>
          <t>Same concept, different label across years. Proves why facts carry line_item_id.</t>
        </is>
      </c>
      <c r="E2" s="17" t="inlineStr">
        <is>
          <t>No - already handled</t>
        </is>
      </c>
    </row>
    <row r="3">
      <c r="A3" s="14" t="n">
        <v>2</v>
      </c>
      <c r="B3" s="17" t="inlineStr">
        <is>
          <t>Revenue has three components, only one is 'sale of merchandise'</t>
        </is>
      </c>
      <c r="C3" s="17" t="inlineStr">
        <is>
          <t>Income statement / note 26</t>
        </is>
      </c>
      <c r="D3" s="17" t="inlineStr">
        <is>
          <t>An analyst modelling 'revenue' almost always means sale of merchandise. Which one is the concept 'revenue'?</t>
        </is>
      </c>
      <c r="E3" s="17" t="inlineStr">
        <is>
          <t>YES</t>
        </is>
      </c>
    </row>
    <row r="4">
      <c r="A4" s="14" t="n">
        <v>3</v>
      </c>
      <c r="B4" s="17" t="inlineStr">
        <is>
          <t>Trading profit is company-defined, not IFRS</t>
        </is>
      </c>
      <c r="C4" s="17" t="inlineStr">
        <is>
          <t>Policy note 1.1.2(a)</t>
        </is>
      </c>
      <c r="D4" s="17" t="inlineStr">
        <is>
          <t>Comparable across years for Shoprite; may not be comparable across companies. M8.7 problem.</t>
        </is>
      </c>
      <c r="E4" s="17" t="inlineStr">
        <is>
          <t>YES</t>
        </is>
      </c>
    </row>
    <row r="5">
      <c r="A5" s="14" t="n">
        <v>4</v>
      </c>
      <c r="B5" s="17" t="inlineStr">
        <is>
          <t>Items of a capital nature defined by SAICA Circular 1/2023</t>
        </is>
      </c>
      <c r="C5" s="17" t="inlineStr">
        <is>
          <t>Policy note 1.1.2(b)</t>
        </is>
      </c>
      <c r="D5" s="17" t="inlineStr">
        <is>
          <t>Directly ties the income statement to the HEPS reconciliation. Circular version can change between years.</t>
        </is>
      </c>
      <c r="E5" s="17" t="inlineStr">
        <is>
          <t>YES</t>
        </is>
      </c>
    </row>
    <row r="6">
      <c r="A6" s="14" t="n">
        <v>5</v>
      </c>
      <c r="B6" s="17" t="inlineStr">
        <is>
          <t>Segments do not sum to consolidated</t>
        </is>
      </c>
      <c r="C6" s="17" t="inlineStr">
        <is>
          <t>Note 2.1</t>
        </is>
      </c>
      <c r="D6" s="17" t="inlineStr">
        <is>
          <t>A 'Hyperinflation effect and other reconciling items' column absorbs the difference. M5.7 must allow it.</t>
        </is>
      </c>
      <c r="E6" s="17" t="inlineStr">
        <is>
          <t>YES</t>
        </is>
      </c>
    </row>
    <row r="7">
      <c r="A7" s="14" t="n">
        <v>6</v>
      </c>
      <c r="B7" s="17" t="inlineStr">
        <is>
          <t>Balance sheet comparative not restated, income statement was</t>
        </is>
      </c>
      <c r="C7" s="17" t="inlineStr">
        <is>
          <t>Note 45 / SOFP footnote</t>
        </is>
      </c>
      <c r="D7" s="17" t="inlineStr">
        <is>
          <t>basis must be per-fact not per-document.</t>
        </is>
      </c>
      <c r="E7" s="17" t="inlineStr">
        <is>
          <t>No - decided</t>
        </is>
      </c>
    </row>
    <row r="8">
      <c r="A8" s="14" t="n">
        <v>7</v>
      </c>
      <c r="B8" s="17" t="inlineStr">
        <is>
          <t>Cash flow 'operating profit' 15 380 differs from income statement 14 943</t>
        </is>
      </c>
      <c r="C8" s="17" t="inlineStr">
        <is>
          <t>Cash flow vs income statement</t>
        </is>
      </c>
      <c r="D8" s="17" t="inlineStr">
        <is>
          <t>Cash flow includes discontinued operations; income statement separates them. Same label, different scope.</t>
        </is>
      </c>
      <c r="E8" s="17" t="inlineStr">
        <is>
          <t>YES</t>
        </is>
      </c>
    </row>
    <row r="9">
      <c r="A9" s="14" t="n">
        <v>8</v>
      </c>
      <c r="B9" s="17" t="inlineStr">
        <is>
          <t>Closing cash 9 323 differs from balance sheet cash 9 946</t>
        </is>
      </c>
      <c r="C9" s="17" t="inlineStr">
        <is>
          <t>Cash flow reconciliation</t>
        </is>
      </c>
      <c r="D9" s="17" t="inlineStr">
        <is>
          <t>Cash flow closing is net of overdrafts; short-term facilities excluded from FY2025 and prior year.</t>
        </is>
      </c>
      <c r="E9" s="17" t="inlineStr">
        <is>
          <t>YES</t>
        </is>
      </c>
    </row>
    <row r="10">
      <c r="A10" s="14" t="n">
        <v>9</v>
      </c>
      <c r="B10" s="17" t="inlineStr">
        <is>
          <t>Ghana is hyperinflationary (IAS 29), Angola ceased to be</t>
        </is>
      </c>
      <c r="C10" s="17" t="inlineStr">
        <is>
          <t>Policy note 1.1 / 1.5</t>
        </is>
      </c>
      <c r="D10" s="17" t="inlineStr">
        <is>
          <t>Hyperinflation adjustments flow through several lines. Affects comparability across years.</t>
        </is>
      </c>
      <c r="E10" s="17" t="inlineStr">
        <is>
          <t>YES</t>
        </is>
      </c>
    </row>
    <row r="11">
      <c r="A11" s="14" t="n">
        <v>10</v>
      </c>
      <c r="B11" s="17" t="inlineStr">
        <is>
          <t>Sale of merchandise disaggregated by banner and by liquor</t>
        </is>
      </c>
      <c r="C11" s="17" t="inlineStr">
        <is>
          <t>Note 26.1</t>
        </is>
      </c>
      <c r="D11" s="17" t="inlineStr">
        <is>
          <t>Shoprite/Usave/Checkers/LiquorShop splits - retail-specific operational concepts.</t>
        </is>
      </c>
      <c r="E11" s="17" t="inlineStr">
        <is>
          <t>YES</t>
        </is>
      </c>
    </row>
    <row r="12">
      <c r="A12" s="14" t="n">
        <v>11</v>
      </c>
      <c r="B12" s="17" t="inlineStr">
        <is>
          <t>Sixty60 sales disclosed separately (R18.9bn)</t>
        </is>
      </c>
      <c r="C12" s="17" t="inlineStr">
        <is>
          <t>Note 26.1 footnote 16</t>
        </is>
      </c>
      <c r="D12" s="17" t="inlineStr">
        <is>
          <t>Analysts care a lot about this. Is it a concept or a segment?</t>
        </is>
      </c>
      <c r="E12" s="17" t="inlineStr">
        <is>
          <t>YES</t>
        </is>
      </c>
    </row>
    <row r="14">
      <c r="B14" s="7" t="inlineStr">
        <is>
          <t>Add your own as you verify. Anything that made you pause belongs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2026-08-05T22:28:38Z</dcterms:created>
  <dcterms:modified xmlns:dcterms="http://purl.org/dc/terms/" xmlns:xsi="http://www.w3.org/2001/XMLSchema-instance" xsi:type="dcterms:W3CDTF">2026-08-05T22:28:38Z</dcterms:modified>
</cp:coreProperties>
</file>